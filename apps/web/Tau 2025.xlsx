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I 2026\Daily report Doi cont - V 2.1\"/>
    </mc:Choice>
  </mc:AlternateContent>
  <xr:revisionPtr revIDLastSave="0" documentId="13_ncr:1_{35E9DF58-3104-4572-9727-06CE40873F4B}" xr6:coauthVersionLast="47" xr6:coauthVersionMax="47" xr10:uidLastSave="{00000000-0000-0000-0000-000000000000}"/>
  <bookViews>
    <workbookView xWindow="-108" yWindow="-108" windowWidth="23256" windowHeight="13896" xr2:uid="{CA479079-670E-460F-93F0-19A5628EC1FC}"/>
  </bookViews>
  <sheets>
    <sheet name="LUOT TAU N2025" sheetId="1" r:id="rId1"/>
  </sheets>
  <definedNames>
    <definedName name="_xlnm._FilterDatabase" localSheetId="0" hidden="1">'LUOT TAU N2025'!$A$8:$BH$8</definedName>
    <definedName name="_xlnm.Print_Titles" localSheetId="0">'LUOT TAU N2025'!$A:$G,'LUOT TAU N2025'!$3:$7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67" i="1" l="1"/>
  <c r="AZ367" i="1" s="1"/>
  <c r="AQ367" i="1"/>
  <c r="BA367" i="1" s="1"/>
  <c r="AG367" i="1"/>
  <c r="BE367" i="1" s="1"/>
  <c r="Y367" i="1"/>
  <c r="Z367" i="1" s="1"/>
  <c r="AY366" i="1"/>
  <c r="AZ366" i="1" s="1"/>
  <c r="AR366" i="1"/>
  <c r="AQ366" i="1"/>
  <c r="BA366" i="1" s="1"/>
  <c r="AG366" i="1"/>
  <c r="AH366" i="1" s="1"/>
  <c r="Y366" i="1"/>
  <c r="AY365" i="1"/>
  <c r="AZ365" i="1" s="1"/>
  <c r="AQ365" i="1"/>
  <c r="AG365" i="1"/>
  <c r="Y365" i="1"/>
  <c r="BC364" i="1"/>
  <c r="AY364" i="1"/>
  <c r="AQ364" i="1"/>
  <c r="AR364" i="1" s="1"/>
  <c r="AI364" i="1"/>
  <c r="AH364" i="1"/>
  <c r="AG364" i="1"/>
  <c r="Y364" i="1"/>
  <c r="Z364" i="1" s="1"/>
  <c r="BA363" i="1"/>
  <c r="AY363" i="1"/>
  <c r="AZ363" i="1" s="1"/>
  <c r="AR363" i="1"/>
  <c r="BB363" i="1" s="1"/>
  <c r="AQ363" i="1"/>
  <c r="AG363" i="1"/>
  <c r="AH363" i="1" s="1"/>
  <c r="BF363" i="1" s="1"/>
  <c r="Z363" i="1"/>
  <c r="AJ363" i="1" s="1"/>
  <c r="Y363" i="1"/>
  <c r="AI363" i="1" s="1"/>
  <c r="BC362" i="1"/>
  <c r="AZ362" i="1"/>
  <c r="AY362" i="1"/>
  <c r="AQ362" i="1"/>
  <c r="BA362" i="1" s="1"/>
  <c r="AH362" i="1"/>
  <c r="AG362" i="1"/>
  <c r="Z362" i="1"/>
  <c r="Y362" i="1"/>
  <c r="AZ361" i="1"/>
  <c r="AY361" i="1"/>
  <c r="AQ361" i="1"/>
  <c r="AR361" i="1" s="1"/>
  <c r="AG361" i="1"/>
  <c r="AH361" i="1" s="1"/>
  <c r="BF361" i="1" s="1"/>
  <c r="Z361" i="1"/>
  <c r="BD361" i="1" s="1"/>
  <c r="Y361" i="1"/>
  <c r="BC361" i="1" s="1"/>
  <c r="AY360" i="1"/>
  <c r="AZ360" i="1" s="1"/>
  <c r="AR360" i="1"/>
  <c r="BB360" i="1" s="1"/>
  <c r="AQ360" i="1"/>
  <c r="BA360" i="1" s="1"/>
  <c r="AH360" i="1"/>
  <c r="AG360" i="1"/>
  <c r="Y360" i="1"/>
  <c r="N360" i="1"/>
  <c r="K360" i="1"/>
  <c r="M360" i="1" s="1"/>
  <c r="BC359" i="1"/>
  <c r="AY359" i="1"/>
  <c r="AQ359" i="1"/>
  <c r="AR359" i="1" s="1"/>
  <c r="AG359" i="1"/>
  <c r="Y359" i="1"/>
  <c r="Z359" i="1" s="1"/>
  <c r="N359" i="1"/>
  <c r="K359" i="1"/>
  <c r="M359" i="1" s="1"/>
  <c r="AY358" i="1"/>
  <c r="AZ358" i="1" s="1"/>
  <c r="AR358" i="1"/>
  <c r="AQ358" i="1"/>
  <c r="BA358" i="1" s="1"/>
  <c r="AG358" i="1"/>
  <c r="Y358" i="1"/>
  <c r="Z358" i="1" s="1"/>
  <c r="N358" i="1"/>
  <c r="K358" i="1"/>
  <c r="M358" i="1" s="1"/>
  <c r="AY357" i="1"/>
  <c r="AZ357" i="1" s="1"/>
  <c r="AQ357" i="1"/>
  <c r="AR357" i="1" s="1"/>
  <c r="AG357" i="1"/>
  <c r="Y357" i="1"/>
  <c r="Z357" i="1" s="1"/>
  <c r="N357" i="1"/>
  <c r="K357" i="1"/>
  <c r="M357" i="1" s="1"/>
  <c r="BC356" i="1"/>
  <c r="AY356" i="1"/>
  <c r="AZ356" i="1" s="1"/>
  <c r="AR356" i="1"/>
  <c r="AQ356" i="1"/>
  <c r="AG356" i="1"/>
  <c r="Y356" i="1"/>
  <c r="Z356" i="1" s="1"/>
  <c r="N356" i="1"/>
  <c r="K356" i="1"/>
  <c r="M356" i="1" s="1"/>
  <c r="BC355" i="1"/>
  <c r="AY355" i="1"/>
  <c r="AZ355" i="1" s="1"/>
  <c r="AQ355" i="1"/>
  <c r="AR355" i="1" s="1"/>
  <c r="AG355" i="1"/>
  <c r="Y355" i="1"/>
  <c r="Z355" i="1" s="1"/>
  <c r="BD355" i="1" s="1"/>
  <c r="N355" i="1"/>
  <c r="K355" i="1"/>
  <c r="M355" i="1" s="1"/>
  <c r="BD354" i="1"/>
  <c r="BC354" i="1"/>
  <c r="BA354" i="1"/>
  <c r="AY354" i="1"/>
  <c r="AZ354" i="1" s="1"/>
  <c r="AR354" i="1"/>
  <c r="AQ354" i="1"/>
  <c r="AG354" i="1"/>
  <c r="Y354" i="1"/>
  <c r="Z354" i="1" s="1"/>
  <c r="N354" i="1"/>
  <c r="K354" i="1"/>
  <c r="M354" i="1" s="1"/>
  <c r="AY353" i="1"/>
  <c r="AZ353" i="1" s="1"/>
  <c r="AQ353" i="1"/>
  <c r="AR353" i="1" s="1"/>
  <c r="AG353" i="1"/>
  <c r="Y353" i="1"/>
  <c r="Z353" i="1" s="1"/>
  <c r="N353" i="1"/>
  <c r="K353" i="1"/>
  <c r="M353" i="1" s="1"/>
  <c r="AY352" i="1"/>
  <c r="AZ352" i="1" s="1"/>
  <c r="AR352" i="1"/>
  <c r="AQ352" i="1"/>
  <c r="AG352" i="1"/>
  <c r="Y352" i="1"/>
  <c r="Z352" i="1" s="1"/>
  <c r="N352" i="1"/>
  <c r="K352" i="1"/>
  <c r="M352" i="1" s="1"/>
  <c r="AY351" i="1"/>
  <c r="AZ351" i="1" s="1"/>
  <c r="AQ351" i="1"/>
  <c r="AG351" i="1"/>
  <c r="Y351" i="1"/>
  <c r="Z351" i="1" s="1"/>
  <c r="N351" i="1"/>
  <c r="K351" i="1"/>
  <c r="M351" i="1" s="1"/>
  <c r="BA350" i="1"/>
  <c r="AY350" i="1"/>
  <c r="AZ350" i="1" s="1"/>
  <c r="AR350" i="1"/>
  <c r="AQ350" i="1"/>
  <c r="AG350" i="1"/>
  <c r="Y350" i="1"/>
  <c r="Z350" i="1" s="1"/>
  <c r="BD350" i="1" s="1"/>
  <c r="N350" i="1"/>
  <c r="K350" i="1"/>
  <c r="M350" i="1" s="1"/>
  <c r="BC349" i="1"/>
  <c r="AY349" i="1"/>
  <c r="AZ349" i="1" s="1"/>
  <c r="AQ349" i="1"/>
  <c r="AR349" i="1" s="1"/>
  <c r="BB349" i="1" s="1"/>
  <c r="AG349" i="1"/>
  <c r="Y349" i="1"/>
  <c r="Z349" i="1" s="1"/>
  <c r="N349" i="1"/>
  <c r="K349" i="1"/>
  <c r="M349" i="1" s="1"/>
  <c r="AY348" i="1"/>
  <c r="AZ348" i="1" s="1"/>
  <c r="AQ348" i="1"/>
  <c r="BA348" i="1" s="1"/>
  <c r="AG348" i="1"/>
  <c r="AI348" i="1" s="1"/>
  <c r="Y348" i="1"/>
  <c r="Z348" i="1" s="1"/>
  <c r="N348" i="1"/>
  <c r="K348" i="1"/>
  <c r="M348" i="1" s="1"/>
  <c r="AY347" i="1"/>
  <c r="AZ347" i="1" s="1"/>
  <c r="AQ347" i="1"/>
  <c r="AR347" i="1" s="1"/>
  <c r="AG347" i="1"/>
  <c r="Y347" i="1"/>
  <c r="Z347" i="1" s="1"/>
  <c r="N347" i="1"/>
  <c r="K347" i="1"/>
  <c r="M347" i="1" s="1"/>
  <c r="BA346" i="1"/>
  <c r="AY346" i="1"/>
  <c r="AZ346" i="1" s="1"/>
  <c r="AR346" i="1"/>
  <c r="BB346" i="1" s="1"/>
  <c r="AQ346" i="1"/>
  <c r="AG346" i="1"/>
  <c r="Y346" i="1"/>
  <c r="Z346" i="1" s="1"/>
  <c r="BD346" i="1" s="1"/>
  <c r="N346" i="1"/>
  <c r="K346" i="1"/>
  <c r="M346" i="1" s="1"/>
  <c r="AY345" i="1"/>
  <c r="AZ345" i="1" s="1"/>
  <c r="AQ345" i="1"/>
  <c r="AR345" i="1" s="1"/>
  <c r="BB345" i="1" s="1"/>
  <c r="AG345" i="1"/>
  <c r="Y345" i="1"/>
  <c r="Z345" i="1" s="1"/>
  <c r="N345" i="1"/>
  <c r="K345" i="1"/>
  <c r="M345" i="1" s="1"/>
  <c r="BA344" i="1"/>
  <c r="AY344" i="1"/>
  <c r="AZ344" i="1" s="1"/>
  <c r="AR344" i="1"/>
  <c r="BB344" i="1" s="1"/>
  <c r="AQ344" i="1"/>
  <c r="AG344" i="1"/>
  <c r="Y344" i="1"/>
  <c r="N344" i="1"/>
  <c r="K344" i="1"/>
  <c r="M344" i="1" s="1"/>
  <c r="BC343" i="1"/>
  <c r="AY343" i="1"/>
  <c r="AZ343" i="1" s="1"/>
  <c r="AQ343" i="1"/>
  <c r="AR343" i="1" s="1"/>
  <c r="AI343" i="1"/>
  <c r="AG343" i="1"/>
  <c r="Y343" i="1"/>
  <c r="Z343" i="1" s="1"/>
  <c r="N343" i="1"/>
  <c r="K343" i="1"/>
  <c r="M343" i="1" s="1"/>
  <c r="AY342" i="1"/>
  <c r="AZ342" i="1" s="1"/>
  <c r="AQ342" i="1"/>
  <c r="AR342" i="1" s="1"/>
  <c r="BB342" i="1" s="1"/>
  <c r="AG342" i="1"/>
  <c r="Y342" i="1"/>
  <c r="Z342" i="1" s="1"/>
  <c r="N342" i="1"/>
  <c r="K342" i="1"/>
  <c r="M342" i="1" s="1"/>
  <c r="BC341" i="1"/>
  <c r="AY341" i="1"/>
  <c r="AZ341" i="1" s="1"/>
  <c r="AQ341" i="1"/>
  <c r="AR341" i="1" s="1"/>
  <c r="AG341" i="1"/>
  <c r="Y341" i="1"/>
  <c r="Z341" i="1" s="1"/>
  <c r="N341" i="1"/>
  <c r="K341" i="1"/>
  <c r="M341" i="1" s="1"/>
  <c r="AY340" i="1"/>
  <c r="AZ340" i="1" s="1"/>
  <c r="AQ340" i="1"/>
  <c r="AR340" i="1" s="1"/>
  <c r="BB340" i="1" s="1"/>
  <c r="AG340" i="1"/>
  <c r="Y340" i="1"/>
  <c r="N340" i="1"/>
  <c r="K340" i="1"/>
  <c r="M340" i="1" s="1"/>
  <c r="AY339" i="1"/>
  <c r="AZ339" i="1" s="1"/>
  <c r="AQ339" i="1"/>
  <c r="AR339" i="1" s="1"/>
  <c r="AG339" i="1"/>
  <c r="Y339" i="1"/>
  <c r="Z339" i="1" s="1"/>
  <c r="N339" i="1"/>
  <c r="K339" i="1"/>
  <c r="M339" i="1" s="1"/>
  <c r="AX338" i="1"/>
  <c r="AW338" i="1"/>
  <c r="AV338" i="1"/>
  <c r="AU338" i="1"/>
  <c r="AT338" i="1"/>
  <c r="AS338" i="1"/>
  <c r="AP338" i="1"/>
  <c r="AO338" i="1"/>
  <c r="AN338" i="1"/>
  <c r="AM338" i="1"/>
  <c r="AL338" i="1"/>
  <c r="AK338" i="1"/>
  <c r="AF338" i="1"/>
  <c r="AE338" i="1"/>
  <c r="AD338" i="1"/>
  <c r="AC338" i="1"/>
  <c r="AB338" i="1"/>
  <c r="AA338" i="1"/>
  <c r="X338" i="1"/>
  <c r="W338" i="1"/>
  <c r="V338" i="1"/>
  <c r="U338" i="1"/>
  <c r="T338" i="1"/>
  <c r="S338" i="1"/>
  <c r="BE330" i="1"/>
  <c r="AY330" i="1"/>
  <c r="AZ330" i="1" s="1"/>
  <c r="AQ330" i="1"/>
  <c r="AI330" i="1"/>
  <c r="AH330" i="1"/>
  <c r="AG330" i="1"/>
  <c r="Y330" i="1"/>
  <c r="Z330" i="1" s="1"/>
  <c r="N330" i="1"/>
  <c r="M330" i="1"/>
  <c r="K330" i="1"/>
  <c r="AY329" i="1"/>
  <c r="AZ329" i="1" s="1"/>
  <c r="AQ329" i="1"/>
  <c r="AI329" i="1"/>
  <c r="AH329" i="1"/>
  <c r="AG329" i="1"/>
  <c r="Y329" i="1"/>
  <c r="Z329" i="1" s="1"/>
  <c r="N329" i="1"/>
  <c r="K329" i="1"/>
  <c r="M329" i="1" s="1"/>
  <c r="AY328" i="1"/>
  <c r="AZ328" i="1" s="1"/>
  <c r="BB328" i="1" s="1"/>
  <c r="AQ328" i="1"/>
  <c r="AR328" i="1" s="1"/>
  <c r="AG328" i="1"/>
  <c r="AH328" i="1" s="1"/>
  <c r="Z328" i="1"/>
  <c r="Y328" i="1"/>
  <c r="N328" i="1"/>
  <c r="K328" i="1"/>
  <c r="M328" i="1" s="1"/>
  <c r="AY327" i="1"/>
  <c r="AZ327" i="1" s="1"/>
  <c r="AQ327" i="1"/>
  <c r="AR327" i="1" s="1"/>
  <c r="AG327" i="1"/>
  <c r="AH327" i="1" s="1"/>
  <c r="Y327" i="1"/>
  <c r="N327" i="1"/>
  <c r="K327" i="1"/>
  <c r="M327" i="1" s="1"/>
  <c r="BE326" i="1"/>
  <c r="AY326" i="1"/>
  <c r="AZ326" i="1" s="1"/>
  <c r="AQ326" i="1"/>
  <c r="AR326" i="1" s="1"/>
  <c r="AG326" i="1"/>
  <c r="AH326" i="1" s="1"/>
  <c r="Y326" i="1"/>
  <c r="N326" i="1"/>
  <c r="K326" i="1"/>
  <c r="M326" i="1" s="1"/>
  <c r="BE325" i="1"/>
  <c r="AZ325" i="1"/>
  <c r="AY325" i="1"/>
  <c r="AQ325" i="1"/>
  <c r="AR325" i="1" s="1"/>
  <c r="AH325" i="1"/>
  <c r="AG325" i="1"/>
  <c r="Y325" i="1"/>
  <c r="Z325" i="1" s="1"/>
  <c r="N325" i="1"/>
  <c r="K325" i="1"/>
  <c r="M325" i="1" s="1"/>
  <c r="AY324" i="1"/>
  <c r="AZ324" i="1" s="1"/>
  <c r="AQ324" i="1"/>
  <c r="AR324" i="1" s="1"/>
  <c r="BB324" i="1" s="1"/>
  <c r="AG324" i="1"/>
  <c r="AH324" i="1" s="1"/>
  <c r="Z324" i="1"/>
  <c r="Y324" i="1"/>
  <c r="AI324" i="1" s="1"/>
  <c r="N324" i="1"/>
  <c r="M324" i="1"/>
  <c r="K324" i="1"/>
  <c r="BC323" i="1"/>
  <c r="AZ323" i="1"/>
  <c r="AY323" i="1"/>
  <c r="BE323" i="1" s="1"/>
  <c r="AQ323" i="1"/>
  <c r="AR323" i="1" s="1"/>
  <c r="AH323" i="1"/>
  <c r="AG323" i="1"/>
  <c r="Y323" i="1"/>
  <c r="Z323" i="1" s="1"/>
  <c r="N323" i="1"/>
  <c r="K323" i="1"/>
  <c r="M323" i="1" s="1"/>
  <c r="AY322" i="1"/>
  <c r="AZ322" i="1" s="1"/>
  <c r="AQ322" i="1"/>
  <c r="AR322" i="1" s="1"/>
  <c r="BB322" i="1" s="1"/>
  <c r="AI322" i="1"/>
  <c r="AG322" i="1"/>
  <c r="AH322" i="1" s="1"/>
  <c r="Y322" i="1"/>
  <c r="Z322" i="1" s="1"/>
  <c r="N322" i="1"/>
  <c r="K322" i="1"/>
  <c r="M322" i="1" s="1"/>
  <c r="AY321" i="1"/>
  <c r="BE321" i="1" s="1"/>
  <c r="AQ321" i="1"/>
  <c r="AR321" i="1" s="1"/>
  <c r="AH321" i="1"/>
  <c r="AG321" i="1"/>
  <c r="Y321" i="1"/>
  <c r="Z321" i="1" s="1"/>
  <c r="N321" i="1"/>
  <c r="K321" i="1"/>
  <c r="M321" i="1" s="1"/>
  <c r="AY320" i="1"/>
  <c r="AZ320" i="1" s="1"/>
  <c r="AQ320" i="1"/>
  <c r="AR320" i="1" s="1"/>
  <c r="BB320" i="1" s="1"/>
  <c r="AG320" i="1"/>
  <c r="AH320" i="1" s="1"/>
  <c r="BF320" i="1" s="1"/>
  <c r="Z320" i="1"/>
  <c r="Y320" i="1"/>
  <c r="AI320" i="1" s="1"/>
  <c r="N320" i="1"/>
  <c r="K320" i="1"/>
  <c r="M320" i="1" s="1"/>
  <c r="BE319" i="1"/>
  <c r="AY319" i="1"/>
  <c r="AZ319" i="1" s="1"/>
  <c r="AQ319" i="1"/>
  <c r="AR319" i="1" s="1"/>
  <c r="AG319" i="1"/>
  <c r="Y319" i="1"/>
  <c r="Z319" i="1" s="1"/>
  <c r="N319" i="1"/>
  <c r="K319" i="1"/>
  <c r="M319" i="1" s="1"/>
  <c r="BC318" i="1"/>
  <c r="AY318" i="1"/>
  <c r="AZ318" i="1" s="1"/>
  <c r="AQ318" i="1"/>
  <c r="AR318" i="1" s="1"/>
  <c r="BB318" i="1" s="1"/>
  <c r="AG318" i="1"/>
  <c r="AH318" i="1" s="1"/>
  <c r="Y318" i="1"/>
  <c r="AI318" i="1" s="1"/>
  <c r="N318" i="1"/>
  <c r="K318" i="1"/>
  <c r="M318" i="1" s="1"/>
  <c r="AY317" i="1"/>
  <c r="AZ317" i="1" s="1"/>
  <c r="AQ317" i="1"/>
  <c r="AR317" i="1" s="1"/>
  <c r="AG317" i="1"/>
  <c r="BE317" i="1" s="1"/>
  <c r="Y317" i="1"/>
  <c r="Z317" i="1" s="1"/>
  <c r="N317" i="1"/>
  <c r="K317" i="1"/>
  <c r="M317" i="1" s="1"/>
  <c r="AY316" i="1"/>
  <c r="AQ316" i="1"/>
  <c r="AR316" i="1" s="1"/>
  <c r="AG316" i="1"/>
  <c r="AH316" i="1" s="1"/>
  <c r="Y316" i="1"/>
  <c r="N316" i="1"/>
  <c r="K316" i="1"/>
  <c r="M316" i="1" s="1"/>
  <c r="AY315" i="1"/>
  <c r="AZ315" i="1" s="1"/>
  <c r="AQ315" i="1"/>
  <c r="AG315" i="1"/>
  <c r="Y315" i="1"/>
  <c r="Z315" i="1" s="1"/>
  <c r="N315" i="1"/>
  <c r="K315" i="1"/>
  <c r="M315" i="1" s="1"/>
  <c r="AY314" i="1"/>
  <c r="AZ314" i="1" s="1"/>
  <c r="AQ314" i="1"/>
  <c r="AG314" i="1"/>
  <c r="AH314" i="1" s="1"/>
  <c r="Y314" i="1"/>
  <c r="BC314" i="1" s="1"/>
  <c r="N314" i="1"/>
  <c r="K314" i="1"/>
  <c r="M314" i="1" s="1"/>
  <c r="AY313" i="1"/>
  <c r="AZ313" i="1" s="1"/>
  <c r="AQ313" i="1"/>
  <c r="AR313" i="1" s="1"/>
  <c r="AH313" i="1"/>
  <c r="AG313" i="1"/>
  <c r="BE313" i="1" s="1"/>
  <c r="Y313" i="1"/>
  <c r="Z313" i="1" s="1"/>
  <c r="N313" i="1"/>
  <c r="K313" i="1"/>
  <c r="M313" i="1" s="1"/>
  <c r="AY312" i="1"/>
  <c r="AQ312" i="1"/>
  <c r="AR312" i="1" s="1"/>
  <c r="AG312" i="1"/>
  <c r="AH312" i="1" s="1"/>
  <c r="Y312" i="1"/>
  <c r="N312" i="1"/>
  <c r="K312" i="1"/>
  <c r="M312" i="1" s="1"/>
  <c r="BA311" i="1"/>
  <c r="AZ311" i="1"/>
  <c r="AY311" i="1"/>
  <c r="AQ311" i="1"/>
  <c r="AR311" i="1" s="1"/>
  <c r="AG311" i="1"/>
  <c r="BE311" i="1" s="1"/>
  <c r="Y311" i="1"/>
  <c r="Z311" i="1" s="1"/>
  <c r="N311" i="1"/>
  <c r="K311" i="1"/>
  <c r="M311" i="1" s="1"/>
  <c r="AY310" i="1"/>
  <c r="AZ310" i="1" s="1"/>
  <c r="AQ310" i="1"/>
  <c r="AR310" i="1" s="1"/>
  <c r="BB310" i="1" s="1"/>
  <c r="AG310" i="1"/>
  <c r="Y310" i="1"/>
  <c r="N310" i="1"/>
  <c r="K310" i="1"/>
  <c r="M310" i="1" s="1"/>
  <c r="BE309" i="1"/>
  <c r="AY309" i="1"/>
  <c r="AZ309" i="1" s="1"/>
  <c r="AQ309" i="1"/>
  <c r="AR309" i="1" s="1"/>
  <c r="AH309" i="1"/>
  <c r="AG309" i="1"/>
  <c r="Y309" i="1"/>
  <c r="Z309" i="1" s="1"/>
  <c r="N309" i="1"/>
  <c r="K309" i="1"/>
  <c r="M309" i="1" s="1"/>
  <c r="AX308" i="1"/>
  <c r="AW308" i="1"/>
  <c r="AV308" i="1"/>
  <c r="AU308" i="1"/>
  <c r="AT308" i="1"/>
  <c r="AS308" i="1"/>
  <c r="AP308" i="1"/>
  <c r="AO308" i="1"/>
  <c r="AN308" i="1"/>
  <c r="AM308" i="1"/>
  <c r="AL308" i="1"/>
  <c r="AK308" i="1"/>
  <c r="AF308" i="1"/>
  <c r="AE308" i="1"/>
  <c r="AD308" i="1"/>
  <c r="AC308" i="1"/>
  <c r="AB308" i="1"/>
  <c r="AA308" i="1"/>
  <c r="AG308" i="1" s="1"/>
  <c r="X308" i="1"/>
  <c r="W308" i="1"/>
  <c r="V308" i="1"/>
  <c r="U308" i="1"/>
  <c r="T308" i="1"/>
  <c r="S308" i="1"/>
  <c r="AZ304" i="1"/>
  <c r="AY304" i="1"/>
  <c r="AQ304" i="1"/>
  <c r="BA304" i="1" s="1"/>
  <c r="AG304" i="1"/>
  <c r="Y304" i="1"/>
  <c r="Z304" i="1" s="1"/>
  <c r="N304" i="1"/>
  <c r="K304" i="1"/>
  <c r="M304" i="1" s="1"/>
  <c r="AY303" i="1"/>
  <c r="AZ303" i="1" s="1"/>
  <c r="AQ303" i="1"/>
  <c r="BA303" i="1" s="1"/>
  <c r="AI303" i="1"/>
  <c r="AG303" i="1"/>
  <c r="BE303" i="1" s="1"/>
  <c r="Y303" i="1"/>
  <c r="N303" i="1"/>
  <c r="K303" i="1"/>
  <c r="M303" i="1" s="1"/>
  <c r="AY302" i="1"/>
  <c r="AZ302" i="1" s="1"/>
  <c r="AQ302" i="1"/>
  <c r="AR302" i="1" s="1"/>
  <c r="AG302" i="1"/>
  <c r="Y302" i="1"/>
  <c r="Z302" i="1" s="1"/>
  <c r="N302" i="1"/>
  <c r="K302" i="1"/>
  <c r="M302" i="1" s="1"/>
  <c r="AY301" i="1"/>
  <c r="AZ301" i="1" s="1"/>
  <c r="AQ301" i="1"/>
  <c r="AR301" i="1" s="1"/>
  <c r="AG301" i="1"/>
  <c r="AH301" i="1" s="1"/>
  <c r="Y301" i="1"/>
  <c r="Z301" i="1" s="1"/>
  <c r="N301" i="1"/>
  <c r="K301" i="1"/>
  <c r="M301" i="1" s="1"/>
  <c r="AY300" i="1"/>
  <c r="AZ300" i="1" s="1"/>
  <c r="AQ300" i="1"/>
  <c r="AR300" i="1" s="1"/>
  <c r="BB300" i="1" s="1"/>
  <c r="AI300" i="1"/>
  <c r="AG300" i="1"/>
  <c r="AH300" i="1" s="1"/>
  <c r="Y300" i="1"/>
  <c r="Z300" i="1" s="1"/>
  <c r="N300" i="1"/>
  <c r="K300" i="1"/>
  <c r="M300" i="1" s="1"/>
  <c r="BA299" i="1"/>
  <c r="AY299" i="1"/>
  <c r="AZ299" i="1" s="1"/>
  <c r="AQ299" i="1"/>
  <c r="AR299" i="1" s="1"/>
  <c r="AG299" i="1"/>
  <c r="BE299" i="1" s="1"/>
  <c r="Z299" i="1"/>
  <c r="Y299" i="1"/>
  <c r="N299" i="1"/>
  <c r="K299" i="1"/>
  <c r="M299" i="1" s="1"/>
  <c r="AY298" i="1"/>
  <c r="AQ298" i="1"/>
  <c r="AR298" i="1" s="1"/>
  <c r="AG298" i="1"/>
  <c r="AH298" i="1" s="1"/>
  <c r="Y298" i="1"/>
  <c r="AI298" i="1" s="1"/>
  <c r="N298" i="1"/>
  <c r="K298" i="1"/>
  <c r="M298" i="1" s="1"/>
  <c r="BE297" i="1"/>
  <c r="AZ297" i="1"/>
  <c r="AY297" i="1"/>
  <c r="AQ297" i="1"/>
  <c r="AG297" i="1"/>
  <c r="AH297" i="1" s="1"/>
  <c r="Y297" i="1"/>
  <c r="BC297" i="1" s="1"/>
  <c r="N297" i="1"/>
  <c r="K297" i="1"/>
  <c r="M297" i="1" s="1"/>
  <c r="AY296" i="1"/>
  <c r="AZ296" i="1" s="1"/>
  <c r="AQ296" i="1"/>
  <c r="AI296" i="1"/>
  <c r="AG296" i="1"/>
  <c r="AH296" i="1" s="1"/>
  <c r="Z296" i="1"/>
  <c r="Y296" i="1"/>
  <c r="N296" i="1"/>
  <c r="K296" i="1"/>
  <c r="M296" i="1" s="1"/>
  <c r="BE295" i="1"/>
  <c r="AZ295" i="1"/>
  <c r="AY295" i="1"/>
  <c r="AQ295" i="1"/>
  <c r="AG295" i="1"/>
  <c r="AH295" i="1" s="1"/>
  <c r="Y295" i="1"/>
  <c r="BC295" i="1" s="1"/>
  <c r="N295" i="1"/>
  <c r="K295" i="1"/>
  <c r="M295" i="1" s="1"/>
  <c r="AY294" i="1"/>
  <c r="AZ294" i="1" s="1"/>
  <c r="AQ294" i="1"/>
  <c r="BC294" i="1" s="1"/>
  <c r="AG294" i="1"/>
  <c r="AI294" i="1" s="1"/>
  <c r="Y294" i="1"/>
  <c r="Z294" i="1" s="1"/>
  <c r="N294" i="1"/>
  <c r="K294" i="1"/>
  <c r="M294" i="1" s="1"/>
  <c r="AY293" i="1"/>
  <c r="BE293" i="1" s="1"/>
  <c r="AQ293" i="1"/>
  <c r="AG293" i="1"/>
  <c r="AH293" i="1" s="1"/>
  <c r="Y293" i="1"/>
  <c r="BC293" i="1" s="1"/>
  <c r="N293" i="1"/>
  <c r="K293" i="1"/>
  <c r="M293" i="1" s="1"/>
  <c r="BE292" i="1"/>
  <c r="AY292" i="1"/>
  <c r="AZ292" i="1" s="1"/>
  <c r="AR292" i="1"/>
  <c r="AQ292" i="1"/>
  <c r="AG292" i="1"/>
  <c r="Z292" i="1"/>
  <c r="BD292" i="1" s="1"/>
  <c r="Y292" i="1"/>
  <c r="N292" i="1"/>
  <c r="K292" i="1"/>
  <c r="M292" i="1" s="1"/>
  <c r="BE291" i="1"/>
  <c r="AY291" i="1"/>
  <c r="AZ291" i="1" s="1"/>
  <c r="AQ291" i="1"/>
  <c r="BA291" i="1" s="1"/>
  <c r="AG291" i="1"/>
  <c r="AH291" i="1" s="1"/>
  <c r="Y291" i="1"/>
  <c r="N291" i="1"/>
  <c r="K291" i="1"/>
  <c r="M291" i="1" s="1"/>
  <c r="BE290" i="1"/>
  <c r="AY290" i="1"/>
  <c r="AZ290" i="1" s="1"/>
  <c r="AQ290" i="1"/>
  <c r="BC290" i="1" s="1"/>
  <c r="AG290" i="1"/>
  <c r="AI290" i="1" s="1"/>
  <c r="Y290" i="1"/>
  <c r="Z290" i="1" s="1"/>
  <c r="N290" i="1"/>
  <c r="K290" i="1"/>
  <c r="M290" i="1" s="1"/>
  <c r="AZ289" i="1"/>
  <c r="AY289" i="1"/>
  <c r="AQ289" i="1"/>
  <c r="BA289" i="1" s="1"/>
  <c r="AG289" i="1"/>
  <c r="Y289" i="1"/>
  <c r="BC289" i="1" s="1"/>
  <c r="N289" i="1"/>
  <c r="K289" i="1"/>
  <c r="M289" i="1" s="1"/>
  <c r="AY288" i="1"/>
  <c r="AZ288" i="1" s="1"/>
  <c r="AR288" i="1"/>
  <c r="AQ288" i="1"/>
  <c r="BC288" i="1" s="1"/>
  <c r="AG288" i="1"/>
  <c r="AI288" i="1" s="1"/>
  <c r="Y288" i="1"/>
  <c r="Z288" i="1" s="1"/>
  <c r="N288" i="1"/>
  <c r="K288" i="1"/>
  <c r="M288" i="1" s="1"/>
  <c r="BE287" i="1"/>
  <c r="AY287" i="1"/>
  <c r="AZ287" i="1" s="1"/>
  <c r="AQ287" i="1"/>
  <c r="BA287" i="1" s="1"/>
  <c r="AG287" i="1"/>
  <c r="AH287" i="1" s="1"/>
  <c r="BF287" i="1" s="1"/>
  <c r="Y287" i="1"/>
  <c r="BC287" i="1" s="1"/>
  <c r="N287" i="1"/>
  <c r="K287" i="1"/>
  <c r="M287" i="1" s="1"/>
  <c r="AY286" i="1"/>
  <c r="AZ286" i="1" s="1"/>
  <c r="AR286" i="1"/>
  <c r="BB286" i="1" s="1"/>
  <c r="AQ286" i="1"/>
  <c r="BC286" i="1" s="1"/>
  <c r="AG286" i="1"/>
  <c r="Y286" i="1"/>
  <c r="Z286" i="1" s="1"/>
  <c r="N286" i="1"/>
  <c r="K286" i="1"/>
  <c r="M286" i="1" s="1"/>
  <c r="AY285" i="1"/>
  <c r="AQ285" i="1"/>
  <c r="AG285" i="1"/>
  <c r="Y285" i="1"/>
  <c r="BC285" i="1" s="1"/>
  <c r="N285" i="1"/>
  <c r="K285" i="1"/>
  <c r="M285" i="1" s="1"/>
  <c r="BE284" i="1"/>
  <c r="AY284" i="1"/>
  <c r="AZ284" i="1" s="1"/>
  <c r="AQ284" i="1"/>
  <c r="BC284" i="1" s="1"/>
  <c r="AG284" i="1"/>
  <c r="AI284" i="1" s="1"/>
  <c r="Y284" i="1"/>
  <c r="Z284" i="1" s="1"/>
  <c r="N284" i="1"/>
  <c r="K284" i="1"/>
  <c r="M284" i="1" s="1"/>
  <c r="AY283" i="1"/>
  <c r="AZ283" i="1" s="1"/>
  <c r="AQ283" i="1"/>
  <c r="AG283" i="1"/>
  <c r="AI283" i="1" s="1"/>
  <c r="Y283" i="1"/>
  <c r="N283" i="1"/>
  <c r="K283" i="1"/>
  <c r="M283" i="1" s="1"/>
  <c r="AY282" i="1"/>
  <c r="AZ282" i="1" s="1"/>
  <c r="AQ282" i="1"/>
  <c r="BC282" i="1" s="1"/>
  <c r="AG282" i="1"/>
  <c r="Y282" i="1"/>
  <c r="Z282" i="1" s="1"/>
  <c r="N282" i="1"/>
  <c r="K282" i="1"/>
  <c r="M282" i="1" s="1"/>
  <c r="AY281" i="1"/>
  <c r="AZ281" i="1" s="1"/>
  <c r="AQ281" i="1"/>
  <c r="BC281" i="1" s="1"/>
  <c r="AG281" i="1"/>
  <c r="Y281" i="1"/>
  <c r="Z281" i="1" s="1"/>
  <c r="N281" i="1"/>
  <c r="K281" i="1"/>
  <c r="M281" i="1" s="1"/>
  <c r="BD280" i="1"/>
  <c r="AY280" i="1"/>
  <c r="AZ280" i="1" s="1"/>
  <c r="AR280" i="1"/>
  <c r="AQ280" i="1"/>
  <c r="AG280" i="1"/>
  <c r="Y280" i="1"/>
  <c r="Z280" i="1" s="1"/>
  <c r="N280" i="1"/>
  <c r="K280" i="1"/>
  <c r="M280" i="1" s="1"/>
  <c r="AY279" i="1"/>
  <c r="AZ279" i="1" s="1"/>
  <c r="AQ279" i="1"/>
  <c r="BC279" i="1" s="1"/>
  <c r="AG279" i="1"/>
  <c r="Y279" i="1"/>
  <c r="Z279" i="1" s="1"/>
  <c r="N279" i="1"/>
  <c r="K279" i="1"/>
  <c r="M279" i="1" s="1"/>
  <c r="AX278" i="1"/>
  <c r="AW278" i="1"/>
  <c r="AV278" i="1"/>
  <c r="AU278" i="1"/>
  <c r="AT278" i="1"/>
  <c r="AS278" i="1"/>
  <c r="AQ278" i="1"/>
  <c r="AP278" i="1"/>
  <c r="AO278" i="1"/>
  <c r="AN278" i="1"/>
  <c r="AM278" i="1"/>
  <c r="AL278" i="1"/>
  <c r="AK278" i="1"/>
  <c r="AF278" i="1"/>
  <c r="AE278" i="1"/>
  <c r="AD278" i="1"/>
  <c r="AC278" i="1"/>
  <c r="AB278" i="1"/>
  <c r="AA278" i="1"/>
  <c r="X278" i="1"/>
  <c r="W278" i="1"/>
  <c r="V278" i="1"/>
  <c r="U278" i="1"/>
  <c r="T278" i="1"/>
  <c r="S278" i="1"/>
  <c r="AY277" i="1"/>
  <c r="AZ277" i="1" s="1"/>
  <c r="AQ277" i="1"/>
  <c r="AG277" i="1"/>
  <c r="AH277" i="1" s="1"/>
  <c r="BF277" i="1" s="1"/>
  <c r="Y277" i="1"/>
  <c r="N277" i="1"/>
  <c r="K277" i="1"/>
  <c r="BE276" i="1"/>
  <c r="AY276" i="1"/>
  <c r="AZ276" i="1" s="1"/>
  <c r="AQ276" i="1"/>
  <c r="AG276" i="1"/>
  <c r="Y276" i="1"/>
  <c r="Z276" i="1" s="1"/>
  <c r="N276" i="1"/>
  <c r="K276" i="1"/>
  <c r="AY275" i="1"/>
  <c r="AZ275" i="1" s="1"/>
  <c r="AQ275" i="1"/>
  <c r="AR275" i="1" s="1"/>
  <c r="AG275" i="1"/>
  <c r="BE275" i="1" s="1"/>
  <c r="Y275" i="1"/>
  <c r="Z275" i="1" s="1"/>
  <c r="N275" i="1"/>
  <c r="K275" i="1"/>
  <c r="AY274" i="1"/>
  <c r="AZ274" i="1" s="1"/>
  <c r="AQ274" i="1"/>
  <c r="AG274" i="1"/>
  <c r="BE274" i="1" s="1"/>
  <c r="Y274" i="1"/>
  <c r="Z274" i="1" s="1"/>
  <c r="N274" i="1"/>
  <c r="K274" i="1"/>
  <c r="AY273" i="1"/>
  <c r="AZ273" i="1" s="1"/>
  <c r="AQ273" i="1"/>
  <c r="AG273" i="1"/>
  <c r="AH273" i="1" s="1"/>
  <c r="Y273" i="1"/>
  <c r="N273" i="1"/>
  <c r="K273" i="1"/>
  <c r="AY272" i="1"/>
  <c r="AZ272" i="1" s="1"/>
  <c r="AQ272" i="1"/>
  <c r="AG272" i="1"/>
  <c r="AH272" i="1" s="1"/>
  <c r="BF272" i="1" s="1"/>
  <c r="Y272" i="1"/>
  <c r="Z272" i="1" s="1"/>
  <c r="N272" i="1"/>
  <c r="K272" i="1"/>
  <c r="AY271" i="1"/>
  <c r="AQ271" i="1"/>
  <c r="AG271" i="1"/>
  <c r="AH271" i="1" s="1"/>
  <c r="Y271" i="1"/>
  <c r="Z271" i="1" s="1"/>
  <c r="N271" i="1"/>
  <c r="K271" i="1"/>
  <c r="AY270" i="1"/>
  <c r="AZ270" i="1" s="1"/>
  <c r="AQ270" i="1"/>
  <c r="AG270" i="1"/>
  <c r="Y270" i="1"/>
  <c r="Z270" i="1" s="1"/>
  <c r="N270" i="1"/>
  <c r="K270" i="1"/>
  <c r="AY269" i="1"/>
  <c r="AZ269" i="1" s="1"/>
  <c r="AQ269" i="1"/>
  <c r="AR269" i="1" s="1"/>
  <c r="AG269" i="1"/>
  <c r="AH269" i="1" s="1"/>
  <c r="Y269" i="1"/>
  <c r="Z269" i="1" s="1"/>
  <c r="N269" i="1"/>
  <c r="K269" i="1"/>
  <c r="AY268" i="1"/>
  <c r="AZ268" i="1" s="1"/>
  <c r="BF268" i="1" s="1"/>
  <c r="AQ268" i="1"/>
  <c r="BA268" i="1" s="1"/>
  <c r="AJ268" i="1"/>
  <c r="AG268" i="1"/>
  <c r="AH268" i="1" s="1"/>
  <c r="Y268" i="1"/>
  <c r="Z268" i="1" s="1"/>
  <c r="N268" i="1"/>
  <c r="K268" i="1"/>
  <c r="AY267" i="1"/>
  <c r="AQ267" i="1"/>
  <c r="AR267" i="1" s="1"/>
  <c r="AG267" i="1"/>
  <c r="Y267" i="1"/>
  <c r="Z267" i="1" s="1"/>
  <c r="N267" i="1"/>
  <c r="K267" i="1"/>
  <c r="M267" i="1" s="1"/>
  <c r="AY266" i="1"/>
  <c r="AZ266" i="1" s="1"/>
  <c r="AQ266" i="1"/>
  <c r="AR266" i="1" s="1"/>
  <c r="AG266" i="1"/>
  <c r="AH266" i="1" s="1"/>
  <c r="Y266" i="1"/>
  <c r="Z266" i="1" s="1"/>
  <c r="N266" i="1"/>
  <c r="K266" i="1"/>
  <c r="M266" i="1" s="1"/>
  <c r="AY265" i="1"/>
  <c r="AZ265" i="1" s="1"/>
  <c r="AQ265" i="1"/>
  <c r="AR265" i="1" s="1"/>
  <c r="AG265" i="1"/>
  <c r="AI265" i="1" s="1"/>
  <c r="Y265" i="1"/>
  <c r="Z265" i="1" s="1"/>
  <c r="N265" i="1"/>
  <c r="K265" i="1"/>
  <c r="M265" i="1" s="1"/>
  <c r="BE264" i="1"/>
  <c r="BB264" i="1"/>
  <c r="AY264" i="1"/>
  <c r="AZ264" i="1" s="1"/>
  <c r="AQ264" i="1"/>
  <c r="AR264" i="1" s="1"/>
  <c r="AG264" i="1"/>
  <c r="AH264" i="1" s="1"/>
  <c r="BF264" i="1" s="1"/>
  <c r="Y264" i="1"/>
  <c r="N264" i="1"/>
  <c r="K264" i="1"/>
  <c r="M264" i="1" s="1"/>
  <c r="AY263" i="1"/>
  <c r="AQ263" i="1"/>
  <c r="AR263" i="1" s="1"/>
  <c r="AI263" i="1"/>
  <c r="AH263" i="1"/>
  <c r="AG263" i="1"/>
  <c r="Y263" i="1"/>
  <c r="Z263" i="1" s="1"/>
  <c r="N263" i="1"/>
  <c r="K263" i="1"/>
  <c r="M263" i="1" s="1"/>
  <c r="AY262" i="1"/>
  <c r="AZ262" i="1" s="1"/>
  <c r="AQ262" i="1"/>
  <c r="AR262" i="1" s="1"/>
  <c r="BB262" i="1" s="1"/>
  <c r="AG262" i="1"/>
  <c r="Y262" i="1"/>
  <c r="N262" i="1"/>
  <c r="K262" i="1"/>
  <c r="M262" i="1" s="1"/>
  <c r="AY261" i="1"/>
  <c r="AQ261" i="1"/>
  <c r="AR261" i="1" s="1"/>
  <c r="AG261" i="1"/>
  <c r="BE261" i="1" s="1"/>
  <c r="Y261" i="1"/>
  <c r="N261" i="1"/>
  <c r="K261" i="1"/>
  <c r="M261" i="1" s="1"/>
  <c r="AY260" i="1"/>
  <c r="AZ260" i="1" s="1"/>
  <c r="AQ260" i="1"/>
  <c r="AR260" i="1" s="1"/>
  <c r="AG260" i="1"/>
  <c r="Y260" i="1"/>
  <c r="N260" i="1"/>
  <c r="K260" i="1"/>
  <c r="M260" i="1" s="1"/>
  <c r="AY259" i="1"/>
  <c r="AZ259" i="1" s="1"/>
  <c r="AR259" i="1"/>
  <c r="AQ259" i="1"/>
  <c r="AG259" i="1"/>
  <c r="Y259" i="1"/>
  <c r="N259" i="1"/>
  <c r="K259" i="1"/>
  <c r="M259" i="1" s="1"/>
  <c r="AY258" i="1"/>
  <c r="AZ258" i="1" s="1"/>
  <c r="AQ258" i="1"/>
  <c r="AR258" i="1" s="1"/>
  <c r="BB258" i="1" s="1"/>
  <c r="AG258" i="1"/>
  <c r="Y258" i="1"/>
  <c r="N258" i="1"/>
  <c r="K258" i="1"/>
  <c r="M258" i="1" s="1"/>
  <c r="AY257" i="1"/>
  <c r="AQ257" i="1"/>
  <c r="AG257" i="1"/>
  <c r="AH257" i="1" s="1"/>
  <c r="Y257" i="1"/>
  <c r="Z257" i="1" s="1"/>
  <c r="N257" i="1"/>
  <c r="K257" i="1"/>
  <c r="M257" i="1" s="1"/>
  <c r="AY256" i="1"/>
  <c r="AZ256" i="1" s="1"/>
  <c r="AQ256" i="1"/>
  <c r="AR256" i="1" s="1"/>
  <c r="BB256" i="1" s="1"/>
  <c r="AG256" i="1"/>
  <c r="AH256" i="1" s="1"/>
  <c r="BF256" i="1" s="1"/>
  <c r="Y256" i="1"/>
  <c r="N256" i="1"/>
  <c r="K256" i="1"/>
  <c r="M256" i="1" s="1"/>
  <c r="AY255" i="1"/>
  <c r="AZ255" i="1" s="1"/>
  <c r="AQ255" i="1"/>
  <c r="BA255" i="1" s="1"/>
  <c r="AI255" i="1"/>
  <c r="AG255" i="1"/>
  <c r="AH255" i="1" s="1"/>
  <c r="BF255" i="1" s="1"/>
  <c r="Y255" i="1"/>
  <c r="N255" i="1"/>
  <c r="K255" i="1"/>
  <c r="M255" i="1" s="1"/>
  <c r="AZ254" i="1"/>
  <c r="AY254" i="1"/>
  <c r="AQ254" i="1"/>
  <c r="AR254" i="1" s="1"/>
  <c r="BB254" i="1" s="1"/>
  <c r="AJ254" i="1"/>
  <c r="AG254" i="1"/>
  <c r="AH254" i="1" s="1"/>
  <c r="Y254" i="1"/>
  <c r="Z254" i="1" s="1"/>
  <c r="N254" i="1"/>
  <c r="K254" i="1"/>
  <c r="M254" i="1" s="1"/>
  <c r="BC253" i="1"/>
  <c r="BG253" i="1" s="1"/>
  <c r="AY253" i="1"/>
  <c r="AZ253" i="1" s="1"/>
  <c r="AQ253" i="1"/>
  <c r="AR253" i="1" s="1"/>
  <c r="AG253" i="1"/>
  <c r="BE253" i="1" s="1"/>
  <c r="Z253" i="1"/>
  <c r="BD253" i="1" s="1"/>
  <c r="Y253" i="1"/>
  <c r="AI253" i="1" s="1"/>
  <c r="N253" i="1"/>
  <c r="K253" i="1"/>
  <c r="M253" i="1" s="1"/>
  <c r="AZ252" i="1"/>
  <c r="AY252" i="1"/>
  <c r="AQ252" i="1"/>
  <c r="AR252" i="1" s="1"/>
  <c r="BB252" i="1" s="1"/>
  <c r="AG252" i="1"/>
  <c r="AH252" i="1" s="1"/>
  <c r="BF252" i="1" s="1"/>
  <c r="Y252" i="1"/>
  <c r="Z252" i="1" s="1"/>
  <c r="AJ252" i="1" s="1"/>
  <c r="N252" i="1"/>
  <c r="M252" i="1"/>
  <c r="K252" i="1"/>
  <c r="BC251" i="1"/>
  <c r="BA251" i="1"/>
  <c r="AY251" i="1"/>
  <c r="AZ251" i="1" s="1"/>
  <c r="AQ251" i="1"/>
  <c r="AR251" i="1" s="1"/>
  <c r="AG251" i="1"/>
  <c r="Z251" i="1"/>
  <c r="Y251" i="1"/>
  <c r="N251" i="1"/>
  <c r="K251" i="1"/>
  <c r="M251" i="1" s="1"/>
  <c r="AZ250" i="1"/>
  <c r="AY250" i="1"/>
  <c r="AQ250" i="1"/>
  <c r="AG250" i="1"/>
  <c r="AH250" i="1" s="1"/>
  <c r="Y250" i="1"/>
  <c r="Z250" i="1" s="1"/>
  <c r="N250" i="1"/>
  <c r="M250" i="1"/>
  <c r="K250" i="1"/>
  <c r="BC249" i="1"/>
  <c r="AY249" i="1"/>
  <c r="AZ249" i="1" s="1"/>
  <c r="AQ249" i="1"/>
  <c r="AH249" i="1"/>
  <c r="AG249" i="1"/>
  <c r="AI249" i="1" s="1"/>
  <c r="Y249" i="1"/>
  <c r="Z249" i="1" s="1"/>
  <c r="N249" i="1"/>
  <c r="K249" i="1"/>
  <c r="M249" i="1" s="1"/>
  <c r="AX248" i="1"/>
  <c r="AW248" i="1"/>
  <c r="AV248" i="1"/>
  <c r="AU248" i="1"/>
  <c r="AT248" i="1"/>
  <c r="AS248" i="1"/>
  <c r="AP248" i="1"/>
  <c r="AO248" i="1"/>
  <c r="AN248" i="1"/>
  <c r="AM248" i="1"/>
  <c r="AL248" i="1"/>
  <c r="AK248" i="1"/>
  <c r="AF248" i="1"/>
  <c r="AE248" i="1"/>
  <c r="AD248" i="1"/>
  <c r="AC248" i="1"/>
  <c r="AB248" i="1"/>
  <c r="AA248" i="1"/>
  <c r="X248" i="1"/>
  <c r="W248" i="1"/>
  <c r="V248" i="1"/>
  <c r="U248" i="1"/>
  <c r="T248" i="1"/>
  <c r="S248" i="1"/>
  <c r="BC247" i="1"/>
  <c r="AY247" i="1"/>
  <c r="AQ247" i="1"/>
  <c r="AR247" i="1" s="1"/>
  <c r="AG247" i="1"/>
  <c r="AH247" i="1" s="1"/>
  <c r="Y247" i="1"/>
  <c r="AY246" i="1"/>
  <c r="AZ246" i="1" s="1"/>
  <c r="AQ246" i="1"/>
  <c r="AH246" i="1"/>
  <c r="AG246" i="1"/>
  <c r="Z246" i="1"/>
  <c r="Y246" i="1"/>
  <c r="BA245" i="1"/>
  <c r="AY245" i="1"/>
  <c r="AZ245" i="1" s="1"/>
  <c r="AQ245" i="1"/>
  <c r="AR245" i="1" s="1"/>
  <c r="AG245" i="1"/>
  <c r="Y245" i="1"/>
  <c r="AY244" i="1"/>
  <c r="AZ244" i="1" s="1"/>
  <c r="AQ244" i="1"/>
  <c r="BA244" i="1" s="1"/>
  <c r="AG244" i="1"/>
  <c r="Z244" i="1"/>
  <c r="Y244" i="1"/>
  <c r="BC244" i="1" s="1"/>
  <c r="N244" i="1"/>
  <c r="K244" i="1"/>
  <c r="M244" i="1" s="1"/>
  <c r="AY243" i="1"/>
  <c r="AR243" i="1"/>
  <c r="AQ243" i="1"/>
  <c r="AG243" i="1"/>
  <c r="AH243" i="1" s="1"/>
  <c r="Y243" i="1"/>
  <c r="Z243" i="1" s="1"/>
  <c r="N243" i="1"/>
  <c r="K243" i="1"/>
  <c r="M243" i="1" s="1"/>
  <c r="AY242" i="1"/>
  <c r="AZ242" i="1" s="1"/>
  <c r="AQ242" i="1"/>
  <c r="AH242" i="1"/>
  <c r="AG242" i="1"/>
  <c r="BE242" i="1" s="1"/>
  <c r="Y242" i="1"/>
  <c r="Z242" i="1" s="1"/>
  <c r="N242" i="1"/>
  <c r="K242" i="1"/>
  <c r="M242" i="1" s="1"/>
  <c r="BD241" i="1"/>
  <c r="BC241" i="1"/>
  <c r="AZ241" i="1"/>
  <c r="BF241" i="1" s="1"/>
  <c r="AY241" i="1"/>
  <c r="BE241" i="1" s="1"/>
  <c r="AR241" i="1"/>
  <c r="AQ241" i="1"/>
  <c r="AI241" i="1"/>
  <c r="AG241" i="1"/>
  <c r="AH241" i="1" s="1"/>
  <c r="Y241" i="1"/>
  <c r="Z241" i="1" s="1"/>
  <c r="N241" i="1"/>
  <c r="K241" i="1"/>
  <c r="M241" i="1" s="1"/>
  <c r="BE240" i="1"/>
  <c r="AY240" i="1"/>
  <c r="AZ240" i="1" s="1"/>
  <c r="AR240" i="1"/>
  <c r="AQ240" i="1"/>
  <c r="AG240" i="1"/>
  <c r="AH240" i="1" s="1"/>
  <c r="Y240" i="1"/>
  <c r="AI240" i="1" s="1"/>
  <c r="N240" i="1"/>
  <c r="K240" i="1"/>
  <c r="M240" i="1" s="1"/>
  <c r="BE239" i="1"/>
  <c r="AY239" i="1"/>
  <c r="AZ239" i="1" s="1"/>
  <c r="AQ239" i="1"/>
  <c r="BA239" i="1" s="1"/>
  <c r="AG239" i="1"/>
  <c r="AH239" i="1" s="1"/>
  <c r="Y239" i="1"/>
  <c r="N239" i="1"/>
  <c r="K239" i="1"/>
  <c r="M239" i="1" s="1"/>
  <c r="AY238" i="1"/>
  <c r="AZ238" i="1" s="1"/>
  <c r="AQ238" i="1"/>
  <c r="BA238" i="1" s="1"/>
  <c r="AG238" i="1"/>
  <c r="BE238" i="1" s="1"/>
  <c r="Z238" i="1"/>
  <c r="Y238" i="1"/>
  <c r="N238" i="1"/>
  <c r="K238" i="1"/>
  <c r="M238" i="1" s="1"/>
  <c r="AY237" i="1"/>
  <c r="AQ237" i="1"/>
  <c r="AG237" i="1"/>
  <c r="AH237" i="1" s="1"/>
  <c r="Y237" i="1"/>
  <c r="N237" i="1"/>
  <c r="K237" i="1"/>
  <c r="M237" i="1" s="1"/>
  <c r="AY236" i="1"/>
  <c r="AZ236" i="1" s="1"/>
  <c r="AQ236" i="1"/>
  <c r="AG236" i="1"/>
  <c r="Z236" i="1"/>
  <c r="Y236" i="1"/>
  <c r="N236" i="1"/>
  <c r="K236" i="1"/>
  <c r="M236" i="1" s="1"/>
  <c r="AY235" i="1"/>
  <c r="AQ235" i="1"/>
  <c r="AR235" i="1" s="1"/>
  <c r="AG235" i="1"/>
  <c r="AH235" i="1" s="1"/>
  <c r="Y235" i="1"/>
  <c r="N235" i="1"/>
  <c r="M235" i="1"/>
  <c r="K235" i="1"/>
  <c r="BC234" i="1"/>
  <c r="AY234" i="1"/>
  <c r="AZ234" i="1" s="1"/>
  <c r="BF234" i="1" s="1"/>
  <c r="AQ234" i="1"/>
  <c r="AH234" i="1"/>
  <c r="AG234" i="1"/>
  <c r="Y234" i="1"/>
  <c r="AI234" i="1" s="1"/>
  <c r="N234" i="1"/>
  <c r="K234" i="1"/>
  <c r="M234" i="1" s="1"/>
  <c r="BE233" i="1"/>
  <c r="BC233" i="1"/>
  <c r="BG233" i="1" s="1"/>
  <c r="AY233" i="1"/>
  <c r="BA233" i="1" s="1"/>
  <c r="AR233" i="1"/>
  <c r="BD233" i="1" s="1"/>
  <c r="AQ233" i="1"/>
  <c r="AI233" i="1"/>
  <c r="AG233" i="1"/>
  <c r="AH233" i="1" s="1"/>
  <c r="Y233" i="1"/>
  <c r="Z233" i="1" s="1"/>
  <c r="N233" i="1"/>
  <c r="K233" i="1"/>
  <c r="M233" i="1" s="1"/>
  <c r="AY232" i="1"/>
  <c r="AZ232" i="1" s="1"/>
  <c r="AQ232" i="1"/>
  <c r="AG232" i="1"/>
  <c r="Y232" i="1"/>
  <c r="Z232" i="1" s="1"/>
  <c r="N232" i="1"/>
  <c r="K232" i="1"/>
  <c r="M232" i="1" s="1"/>
  <c r="AY231" i="1"/>
  <c r="BE231" i="1" s="1"/>
  <c r="AQ231" i="1"/>
  <c r="AI231" i="1"/>
  <c r="AG231" i="1"/>
  <c r="AH231" i="1" s="1"/>
  <c r="Y231" i="1"/>
  <c r="Z231" i="1" s="1"/>
  <c r="N231" i="1"/>
  <c r="K231" i="1"/>
  <c r="M231" i="1" s="1"/>
  <c r="AY230" i="1"/>
  <c r="AZ230" i="1" s="1"/>
  <c r="AQ230" i="1"/>
  <c r="AG230" i="1"/>
  <c r="Z230" i="1"/>
  <c r="Y230" i="1"/>
  <c r="AI230" i="1" s="1"/>
  <c r="N230" i="1"/>
  <c r="K230" i="1"/>
  <c r="M230" i="1" s="1"/>
  <c r="AY229" i="1"/>
  <c r="AQ229" i="1"/>
  <c r="BC229" i="1" s="1"/>
  <c r="AI229" i="1"/>
  <c r="AG229" i="1"/>
  <c r="AH229" i="1" s="1"/>
  <c r="Y229" i="1"/>
  <c r="Z229" i="1" s="1"/>
  <c r="N229" i="1"/>
  <c r="K229" i="1"/>
  <c r="M229" i="1" s="1"/>
  <c r="BC228" i="1"/>
  <c r="AY228" i="1"/>
  <c r="AZ228" i="1" s="1"/>
  <c r="AR228" i="1"/>
  <c r="BB228" i="1" s="1"/>
  <c r="AQ228" i="1"/>
  <c r="BA228" i="1" s="1"/>
  <c r="AG228" i="1"/>
  <c r="BE228" i="1" s="1"/>
  <c r="Y228" i="1"/>
  <c r="N228" i="1"/>
  <c r="K228" i="1"/>
  <c r="M228" i="1" s="1"/>
  <c r="AZ227" i="1"/>
  <c r="BF227" i="1" s="1"/>
  <c r="AY227" i="1"/>
  <c r="AQ227" i="1"/>
  <c r="AG227" i="1"/>
  <c r="AH227" i="1" s="1"/>
  <c r="Y227" i="1"/>
  <c r="N227" i="1"/>
  <c r="K227" i="1"/>
  <c r="M227" i="1" s="1"/>
  <c r="AY226" i="1"/>
  <c r="AZ226" i="1" s="1"/>
  <c r="AQ226" i="1"/>
  <c r="BA226" i="1" s="1"/>
  <c r="AH226" i="1"/>
  <c r="BF226" i="1" s="1"/>
  <c r="AG226" i="1"/>
  <c r="Y226" i="1"/>
  <c r="Z226" i="1" s="1"/>
  <c r="N226" i="1"/>
  <c r="K226" i="1"/>
  <c r="M226" i="1" s="1"/>
  <c r="AZ225" i="1"/>
  <c r="AY225" i="1"/>
  <c r="AQ225" i="1"/>
  <c r="AG225" i="1"/>
  <c r="Y225" i="1"/>
  <c r="Z225" i="1" s="1"/>
  <c r="N225" i="1"/>
  <c r="K225" i="1"/>
  <c r="M225" i="1" s="1"/>
  <c r="AY224" i="1"/>
  <c r="AZ224" i="1" s="1"/>
  <c r="AR224" i="1"/>
  <c r="AQ224" i="1"/>
  <c r="AG224" i="1"/>
  <c r="AH224" i="1" s="1"/>
  <c r="BF224" i="1" s="1"/>
  <c r="Y224" i="1"/>
  <c r="N224" i="1"/>
  <c r="K224" i="1"/>
  <c r="M224" i="1" s="1"/>
  <c r="BA223" i="1"/>
  <c r="AZ223" i="1"/>
  <c r="AY223" i="1"/>
  <c r="AQ223" i="1"/>
  <c r="BC223" i="1" s="1"/>
  <c r="AG223" i="1"/>
  <c r="AH223" i="1" s="1"/>
  <c r="Y223" i="1"/>
  <c r="Z223" i="1" s="1"/>
  <c r="N223" i="1"/>
  <c r="K223" i="1"/>
  <c r="M223" i="1" s="1"/>
  <c r="BC222" i="1"/>
  <c r="AY222" i="1"/>
  <c r="AZ222" i="1" s="1"/>
  <c r="AQ222" i="1"/>
  <c r="AG222" i="1"/>
  <c r="AH222" i="1" s="1"/>
  <c r="BF222" i="1" s="1"/>
  <c r="Y222" i="1"/>
  <c r="AI222" i="1" s="1"/>
  <c r="N222" i="1"/>
  <c r="K222" i="1"/>
  <c r="M222" i="1" s="1"/>
  <c r="AY221" i="1"/>
  <c r="AZ221" i="1" s="1"/>
  <c r="AQ221" i="1"/>
  <c r="AG221" i="1"/>
  <c r="Y221" i="1"/>
  <c r="Z221" i="1" s="1"/>
  <c r="N221" i="1"/>
  <c r="K221" i="1"/>
  <c r="M221" i="1" s="1"/>
  <c r="AY220" i="1"/>
  <c r="AZ220" i="1" s="1"/>
  <c r="AQ220" i="1"/>
  <c r="BA220" i="1" s="1"/>
  <c r="AG220" i="1"/>
  <c r="BE220" i="1" s="1"/>
  <c r="Y220" i="1"/>
  <c r="N220" i="1"/>
  <c r="K220" i="1"/>
  <c r="M220" i="1" s="1"/>
  <c r="AY219" i="1"/>
  <c r="AZ219" i="1" s="1"/>
  <c r="AQ219" i="1"/>
  <c r="AG219" i="1"/>
  <c r="Y219" i="1"/>
  <c r="Z219" i="1" s="1"/>
  <c r="N219" i="1"/>
  <c r="K219" i="1"/>
  <c r="M219" i="1" s="1"/>
  <c r="AX218" i="1"/>
  <c r="AW218" i="1"/>
  <c r="AV218" i="1"/>
  <c r="AU218" i="1"/>
  <c r="AT218" i="1"/>
  <c r="AS218" i="1"/>
  <c r="AY218" i="1" s="1"/>
  <c r="AZ218" i="1" s="1"/>
  <c r="AP218" i="1"/>
  <c r="AO218" i="1"/>
  <c r="AN218" i="1"/>
  <c r="AM218" i="1"/>
  <c r="AL218" i="1"/>
  <c r="AK218" i="1"/>
  <c r="AF218" i="1"/>
  <c r="AE218" i="1"/>
  <c r="AD218" i="1"/>
  <c r="AC218" i="1"/>
  <c r="AB218" i="1"/>
  <c r="AA218" i="1"/>
  <c r="X218" i="1"/>
  <c r="W218" i="1"/>
  <c r="V218" i="1"/>
  <c r="U218" i="1"/>
  <c r="T218" i="1"/>
  <c r="S218" i="1"/>
  <c r="AY217" i="1"/>
  <c r="AQ217" i="1"/>
  <c r="AR217" i="1" s="1"/>
  <c r="AH217" i="1"/>
  <c r="AG217" i="1"/>
  <c r="Y217" i="1"/>
  <c r="AI217" i="1" s="1"/>
  <c r="AY216" i="1"/>
  <c r="AZ216" i="1" s="1"/>
  <c r="AQ216" i="1"/>
  <c r="AG216" i="1"/>
  <c r="Y216" i="1"/>
  <c r="Z216" i="1" s="1"/>
  <c r="AZ215" i="1"/>
  <c r="AY215" i="1"/>
  <c r="AQ215" i="1"/>
  <c r="AI215" i="1"/>
  <c r="AG215" i="1"/>
  <c r="Y215" i="1"/>
  <c r="Z215" i="1" s="1"/>
  <c r="N215" i="1"/>
  <c r="K215" i="1"/>
  <c r="M215" i="1" s="1"/>
  <c r="BC214" i="1"/>
  <c r="AY214" i="1"/>
  <c r="AZ214" i="1" s="1"/>
  <c r="AQ214" i="1"/>
  <c r="AR214" i="1" s="1"/>
  <c r="AG214" i="1"/>
  <c r="Y214" i="1"/>
  <c r="Z214" i="1" s="1"/>
  <c r="N214" i="1"/>
  <c r="K214" i="1"/>
  <c r="M214" i="1" s="1"/>
  <c r="BD213" i="1"/>
  <c r="BC213" i="1"/>
  <c r="AY213" i="1"/>
  <c r="AZ213" i="1" s="1"/>
  <c r="AQ213" i="1"/>
  <c r="AR213" i="1" s="1"/>
  <c r="AG213" i="1"/>
  <c r="Y213" i="1"/>
  <c r="Z213" i="1" s="1"/>
  <c r="N213" i="1"/>
  <c r="K213" i="1"/>
  <c r="M213" i="1" s="1"/>
  <c r="BE212" i="1"/>
  <c r="AY212" i="1"/>
  <c r="AZ212" i="1" s="1"/>
  <c r="AR212" i="1"/>
  <c r="AQ212" i="1"/>
  <c r="AH212" i="1"/>
  <c r="AG212" i="1"/>
  <c r="Y212" i="1"/>
  <c r="N212" i="1"/>
  <c r="K212" i="1"/>
  <c r="M212" i="1" s="1"/>
  <c r="AY211" i="1"/>
  <c r="AZ211" i="1" s="1"/>
  <c r="AQ211" i="1"/>
  <c r="AG211" i="1"/>
  <c r="Y211" i="1"/>
  <c r="N211" i="1"/>
  <c r="K211" i="1"/>
  <c r="M211" i="1" s="1"/>
  <c r="AY210" i="1"/>
  <c r="AZ210" i="1" s="1"/>
  <c r="AQ210" i="1"/>
  <c r="AH210" i="1"/>
  <c r="AG210" i="1"/>
  <c r="Y210" i="1"/>
  <c r="Z210" i="1" s="1"/>
  <c r="N210" i="1"/>
  <c r="K210" i="1"/>
  <c r="M210" i="1" s="1"/>
  <c r="AY209" i="1"/>
  <c r="AR209" i="1"/>
  <c r="AQ209" i="1"/>
  <c r="AG209" i="1"/>
  <c r="AH209" i="1" s="1"/>
  <c r="Y209" i="1"/>
  <c r="Z209" i="1" s="1"/>
  <c r="N209" i="1"/>
  <c r="K209" i="1"/>
  <c r="M209" i="1" s="1"/>
  <c r="BE208" i="1"/>
  <c r="AY208" i="1"/>
  <c r="AZ208" i="1" s="1"/>
  <c r="AQ208" i="1"/>
  <c r="AG208" i="1"/>
  <c r="AH208" i="1" s="1"/>
  <c r="BF208" i="1" s="1"/>
  <c r="Z208" i="1"/>
  <c r="Y208" i="1"/>
  <c r="N208" i="1"/>
  <c r="K208" i="1"/>
  <c r="M208" i="1" s="1"/>
  <c r="AY207" i="1"/>
  <c r="AZ207" i="1" s="1"/>
  <c r="AQ207" i="1"/>
  <c r="AG207" i="1"/>
  <c r="AH207" i="1" s="1"/>
  <c r="Y207" i="1"/>
  <c r="N207" i="1"/>
  <c r="K207" i="1"/>
  <c r="M207" i="1" s="1"/>
  <c r="AY206" i="1"/>
  <c r="AZ206" i="1" s="1"/>
  <c r="AQ206" i="1"/>
  <c r="AR206" i="1" s="1"/>
  <c r="BB206" i="1" s="1"/>
  <c r="AG206" i="1"/>
  <c r="BE206" i="1" s="1"/>
  <c r="Y206" i="1"/>
  <c r="Z206" i="1" s="1"/>
  <c r="N206" i="1"/>
  <c r="K206" i="1"/>
  <c r="M206" i="1" s="1"/>
  <c r="AY205" i="1"/>
  <c r="AQ205" i="1"/>
  <c r="AR205" i="1" s="1"/>
  <c r="AG205" i="1"/>
  <c r="AH205" i="1" s="1"/>
  <c r="Y205" i="1"/>
  <c r="BC205" i="1" s="1"/>
  <c r="N205" i="1"/>
  <c r="K205" i="1"/>
  <c r="M205" i="1" s="1"/>
  <c r="AY204" i="1"/>
  <c r="AZ204" i="1" s="1"/>
  <c r="AQ204" i="1"/>
  <c r="AI204" i="1"/>
  <c r="AG204" i="1"/>
  <c r="Y204" i="1"/>
  <c r="N204" i="1"/>
  <c r="K204" i="1"/>
  <c r="M204" i="1" s="1"/>
  <c r="BA203" i="1"/>
  <c r="AY203" i="1"/>
  <c r="AR203" i="1"/>
  <c r="AQ203" i="1"/>
  <c r="BC203" i="1" s="1"/>
  <c r="AH203" i="1"/>
  <c r="AG203" i="1"/>
  <c r="AI203" i="1" s="1"/>
  <c r="Y203" i="1"/>
  <c r="Z203" i="1" s="1"/>
  <c r="N203" i="1"/>
  <c r="K203" i="1"/>
  <c r="M203" i="1" s="1"/>
  <c r="AY202" i="1"/>
  <c r="AZ202" i="1" s="1"/>
  <c r="AR202" i="1"/>
  <c r="BB202" i="1" s="1"/>
  <c r="AQ202" i="1"/>
  <c r="BA202" i="1" s="1"/>
  <c r="AH202" i="1"/>
  <c r="AG202" i="1"/>
  <c r="BE202" i="1" s="1"/>
  <c r="Y202" i="1"/>
  <c r="N202" i="1"/>
  <c r="M202" i="1"/>
  <c r="K202" i="1"/>
  <c r="AY201" i="1"/>
  <c r="AQ201" i="1"/>
  <c r="AG201" i="1"/>
  <c r="AH201" i="1" s="1"/>
  <c r="Y201" i="1"/>
  <c r="Z201" i="1" s="1"/>
  <c r="N201" i="1"/>
  <c r="M201" i="1"/>
  <c r="K201" i="1"/>
  <c r="AY200" i="1"/>
  <c r="AZ200" i="1" s="1"/>
  <c r="AR200" i="1"/>
  <c r="AQ200" i="1"/>
  <c r="AG200" i="1"/>
  <c r="Y200" i="1"/>
  <c r="BC200" i="1" s="1"/>
  <c r="N200" i="1"/>
  <c r="K200" i="1"/>
  <c r="M200" i="1" s="1"/>
  <c r="BD199" i="1"/>
  <c r="BB199" i="1"/>
  <c r="BA199" i="1"/>
  <c r="AZ199" i="1"/>
  <c r="AY199" i="1"/>
  <c r="BE199" i="1" s="1"/>
  <c r="AR199" i="1"/>
  <c r="AQ199" i="1"/>
  <c r="BC199" i="1" s="1"/>
  <c r="AG199" i="1"/>
  <c r="AH199" i="1" s="1"/>
  <c r="Y199" i="1"/>
  <c r="Z199" i="1" s="1"/>
  <c r="N199" i="1"/>
  <c r="K199" i="1"/>
  <c r="M199" i="1" s="1"/>
  <c r="AY198" i="1"/>
  <c r="AZ198" i="1" s="1"/>
  <c r="AQ198" i="1"/>
  <c r="AG198" i="1"/>
  <c r="BE198" i="1" s="1"/>
  <c r="Y198" i="1"/>
  <c r="N198" i="1"/>
  <c r="K198" i="1"/>
  <c r="M198" i="1" s="1"/>
  <c r="AY197" i="1"/>
  <c r="AQ197" i="1"/>
  <c r="AR197" i="1" s="1"/>
  <c r="BD197" i="1" s="1"/>
  <c r="AG197" i="1"/>
  <c r="Y197" i="1"/>
  <c r="Z197" i="1" s="1"/>
  <c r="N197" i="1"/>
  <c r="K197" i="1"/>
  <c r="M197" i="1" s="1"/>
  <c r="AY196" i="1"/>
  <c r="AZ196" i="1" s="1"/>
  <c r="AR196" i="1"/>
  <c r="BB196" i="1" s="1"/>
  <c r="AQ196" i="1"/>
  <c r="BA196" i="1" s="1"/>
  <c r="AG196" i="1"/>
  <c r="Y196" i="1"/>
  <c r="N196" i="1"/>
  <c r="K196" i="1"/>
  <c r="M196" i="1" s="1"/>
  <c r="AY195" i="1"/>
  <c r="AZ195" i="1" s="1"/>
  <c r="AR195" i="1"/>
  <c r="BB195" i="1" s="1"/>
  <c r="AQ195" i="1"/>
  <c r="AI195" i="1"/>
  <c r="AG195" i="1"/>
  <c r="AH195" i="1" s="1"/>
  <c r="Y195" i="1"/>
  <c r="Z195" i="1" s="1"/>
  <c r="N195" i="1"/>
  <c r="K195" i="1"/>
  <c r="M195" i="1" s="1"/>
  <c r="AY194" i="1"/>
  <c r="AZ194" i="1" s="1"/>
  <c r="BF194" i="1" s="1"/>
  <c r="AR194" i="1"/>
  <c r="AQ194" i="1"/>
  <c r="AH194" i="1"/>
  <c r="AG194" i="1"/>
  <c r="Y194" i="1"/>
  <c r="N194" i="1"/>
  <c r="K194" i="1"/>
  <c r="M194" i="1" s="1"/>
  <c r="AY193" i="1"/>
  <c r="BA193" i="1" s="1"/>
  <c r="AR193" i="1"/>
  <c r="AQ193" i="1"/>
  <c r="AG193" i="1"/>
  <c r="Y193" i="1"/>
  <c r="N193" i="1"/>
  <c r="M193" i="1"/>
  <c r="K193" i="1"/>
  <c r="BA192" i="1"/>
  <c r="AY192" i="1"/>
  <c r="AZ192" i="1" s="1"/>
  <c r="AR192" i="1"/>
  <c r="BB192" i="1" s="1"/>
  <c r="AQ192" i="1"/>
  <c r="AG192" i="1"/>
  <c r="Y192" i="1"/>
  <c r="N192" i="1"/>
  <c r="K192" i="1"/>
  <c r="M192" i="1" s="1"/>
  <c r="BC191" i="1"/>
  <c r="AY191" i="1"/>
  <c r="AQ191" i="1"/>
  <c r="AR191" i="1" s="1"/>
  <c r="AG191" i="1"/>
  <c r="Y191" i="1"/>
  <c r="Z191" i="1" s="1"/>
  <c r="N191" i="1"/>
  <c r="K191" i="1"/>
  <c r="M191" i="1" s="1"/>
  <c r="AY190" i="1"/>
  <c r="AR190" i="1"/>
  <c r="AQ190" i="1"/>
  <c r="AG190" i="1"/>
  <c r="Y190" i="1"/>
  <c r="N190" i="1"/>
  <c r="K190" i="1"/>
  <c r="M190" i="1" s="1"/>
  <c r="AY189" i="1"/>
  <c r="AZ189" i="1" s="1"/>
  <c r="AQ189" i="1"/>
  <c r="AG189" i="1"/>
  <c r="AI189" i="1" s="1"/>
  <c r="Y189" i="1"/>
  <c r="Z189" i="1" s="1"/>
  <c r="N189" i="1"/>
  <c r="K189" i="1"/>
  <c r="M189" i="1" s="1"/>
  <c r="AX188" i="1"/>
  <c r="AW188" i="1"/>
  <c r="AV188" i="1"/>
  <c r="AU188" i="1"/>
  <c r="AT188" i="1"/>
  <c r="AS188" i="1"/>
  <c r="AP188" i="1"/>
  <c r="AO188" i="1"/>
  <c r="AN188" i="1"/>
  <c r="AM188" i="1"/>
  <c r="AL188" i="1"/>
  <c r="AK188" i="1"/>
  <c r="AF188" i="1"/>
  <c r="AE188" i="1"/>
  <c r="AD188" i="1"/>
  <c r="AC188" i="1"/>
  <c r="AB188" i="1"/>
  <c r="AA188" i="1"/>
  <c r="X188" i="1"/>
  <c r="W188" i="1"/>
  <c r="V188" i="1"/>
  <c r="U188" i="1"/>
  <c r="T188" i="1"/>
  <c r="S188" i="1"/>
  <c r="Y188" i="1" s="1"/>
  <c r="AY187" i="1"/>
  <c r="AZ187" i="1" s="1"/>
  <c r="AQ187" i="1"/>
  <c r="AH187" i="1"/>
  <c r="AG187" i="1"/>
  <c r="Y187" i="1"/>
  <c r="N187" i="1"/>
  <c r="K187" i="1"/>
  <c r="AY186" i="1"/>
  <c r="AQ186" i="1"/>
  <c r="AR186" i="1" s="1"/>
  <c r="AG186" i="1"/>
  <c r="Y186" i="1"/>
  <c r="N186" i="1"/>
  <c r="K186" i="1"/>
  <c r="BE185" i="1"/>
  <c r="AY185" i="1"/>
  <c r="AZ185" i="1" s="1"/>
  <c r="AQ185" i="1"/>
  <c r="AG185" i="1"/>
  <c r="AH185" i="1" s="1"/>
  <c r="BF185" i="1" s="1"/>
  <c r="Y185" i="1"/>
  <c r="AY184" i="1"/>
  <c r="AZ184" i="1" s="1"/>
  <c r="AQ184" i="1"/>
  <c r="AR184" i="1" s="1"/>
  <c r="AG184" i="1"/>
  <c r="AH184" i="1" s="1"/>
  <c r="Z184" i="1"/>
  <c r="BD184" i="1" s="1"/>
  <c r="Y184" i="1"/>
  <c r="N184" i="1"/>
  <c r="K184" i="1"/>
  <c r="M184" i="1" s="1"/>
  <c r="AZ183" i="1"/>
  <c r="AY183" i="1"/>
  <c r="AQ183" i="1"/>
  <c r="AR183" i="1" s="1"/>
  <c r="AG183" i="1"/>
  <c r="Y183" i="1"/>
  <c r="N183" i="1"/>
  <c r="K183" i="1"/>
  <c r="M183" i="1" s="1"/>
  <c r="AY182" i="1"/>
  <c r="AZ182" i="1" s="1"/>
  <c r="AQ182" i="1"/>
  <c r="AH182" i="1"/>
  <c r="AG182" i="1"/>
  <c r="BE182" i="1" s="1"/>
  <c r="Y182" i="1"/>
  <c r="N182" i="1"/>
  <c r="K182" i="1"/>
  <c r="M182" i="1" s="1"/>
  <c r="BC181" i="1"/>
  <c r="AY181" i="1"/>
  <c r="AZ181" i="1" s="1"/>
  <c r="AQ181" i="1"/>
  <c r="AG181" i="1"/>
  <c r="Y181" i="1"/>
  <c r="N181" i="1"/>
  <c r="K181" i="1"/>
  <c r="M181" i="1" s="1"/>
  <c r="AY180" i="1"/>
  <c r="AZ180" i="1" s="1"/>
  <c r="AQ180" i="1"/>
  <c r="AR180" i="1" s="1"/>
  <c r="BB180" i="1" s="1"/>
  <c r="AH180" i="1"/>
  <c r="BF180" i="1" s="1"/>
  <c r="AG180" i="1"/>
  <c r="Y180" i="1"/>
  <c r="N180" i="1"/>
  <c r="K180" i="1"/>
  <c r="M180" i="1" s="1"/>
  <c r="AZ179" i="1"/>
  <c r="AY179" i="1"/>
  <c r="AQ179" i="1"/>
  <c r="AG179" i="1"/>
  <c r="Y179" i="1"/>
  <c r="N179" i="1"/>
  <c r="K179" i="1"/>
  <c r="M179" i="1" s="1"/>
  <c r="AY178" i="1"/>
  <c r="AZ178" i="1" s="1"/>
  <c r="AQ178" i="1"/>
  <c r="AR178" i="1" s="1"/>
  <c r="BB178" i="1" s="1"/>
  <c r="AG178" i="1"/>
  <c r="Y178" i="1"/>
  <c r="Z178" i="1" s="1"/>
  <c r="N178" i="1"/>
  <c r="K178" i="1"/>
  <c r="M178" i="1" s="1"/>
  <c r="AY177" i="1"/>
  <c r="AZ177" i="1" s="1"/>
  <c r="AQ177" i="1"/>
  <c r="AR177" i="1" s="1"/>
  <c r="AG177" i="1"/>
  <c r="Y177" i="1"/>
  <c r="N177" i="1"/>
  <c r="K177" i="1"/>
  <c r="M177" i="1" s="1"/>
  <c r="AY176" i="1"/>
  <c r="AQ176" i="1"/>
  <c r="AR176" i="1" s="1"/>
  <c r="AI176" i="1"/>
  <c r="AG176" i="1"/>
  <c r="AH176" i="1" s="1"/>
  <c r="Y176" i="1"/>
  <c r="N176" i="1"/>
  <c r="K176" i="1"/>
  <c r="M176" i="1" s="1"/>
  <c r="BF175" i="1"/>
  <c r="BE175" i="1"/>
  <c r="AZ175" i="1"/>
  <c r="AY175" i="1"/>
  <c r="AQ175" i="1"/>
  <c r="AG175" i="1"/>
  <c r="AH175" i="1" s="1"/>
  <c r="Y175" i="1"/>
  <c r="AI175" i="1" s="1"/>
  <c r="N175" i="1"/>
  <c r="K175" i="1"/>
  <c r="M175" i="1" s="1"/>
  <c r="AY174" i="1"/>
  <c r="AZ174" i="1" s="1"/>
  <c r="AQ174" i="1"/>
  <c r="AG174" i="1"/>
  <c r="Z174" i="1"/>
  <c r="Y174" i="1"/>
  <c r="N174" i="1"/>
  <c r="K174" i="1"/>
  <c r="M174" i="1" s="1"/>
  <c r="AZ173" i="1"/>
  <c r="AY173" i="1"/>
  <c r="AR173" i="1"/>
  <c r="BB173" i="1" s="1"/>
  <c r="AQ173" i="1"/>
  <c r="BA173" i="1" s="1"/>
  <c r="AG173" i="1"/>
  <c r="Y173" i="1"/>
  <c r="N173" i="1"/>
  <c r="M173" i="1"/>
  <c r="K173" i="1"/>
  <c r="AY172" i="1"/>
  <c r="AQ172" i="1"/>
  <c r="AR172" i="1" s="1"/>
  <c r="AH172" i="1"/>
  <c r="AG172" i="1"/>
  <c r="Y172" i="1"/>
  <c r="N172" i="1"/>
  <c r="K172" i="1"/>
  <c r="M172" i="1" s="1"/>
  <c r="BE171" i="1"/>
  <c r="AZ171" i="1"/>
  <c r="AY171" i="1"/>
  <c r="BA171" i="1" s="1"/>
  <c r="AQ171" i="1"/>
  <c r="AR171" i="1" s="1"/>
  <c r="AG171" i="1"/>
  <c r="AH171" i="1" s="1"/>
  <c r="Y171" i="1"/>
  <c r="AI171" i="1" s="1"/>
  <c r="N171" i="1"/>
  <c r="K171" i="1"/>
  <c r="M171" i="1" s="1"/>
  <c r="BC170" i="1"/>
  <c r="AY170" i="1"/>
  <c r="AZ170" i="1" s="1"/>
  <c r="AR170" i="1"/>
  <c r="AQ170" i="1"/>
  <c r="AH170" i="1"/>
  <c r="AG170" i="1"/>
  <c r="AI170" i="1" s="1"/>
  <c r="Y170" i="1"/>
  <c r="Z170" i="1" s="1"/>
  <c r="N170" i="1"/>
  <c r="K170" i="1"/>
  <c r="M170" i="1" s="1"/>
  <c r="AY169" i="1"/>
  <c r="AZ169" i="1" s="1"/>
  <c r="AQ169" i="1"/>
  <c r="AI169" i="1"/>
  <c r="AG169" i="1"/>
  <c r="AH169" i="1" s="1"/>
  <c r="Y169" i="1"/>
  <c r="N169" i="1"/>
  <c r="M169" i="1"/>
  <c r="K169" i="1"/>
  <c r="AY168" i="1"/>
  <c r="AZ168" i="1" s="1"/>
  <c r="AR168" i="1"/>
  <c r="AQ168" i="1"/>
  <c r="AG168" i="1"/>
  <c r="Y168" i="1"/>
  <c r="N168" i="1"/>
  <c r="K168" i="1"/>
  <c r="M168" i="1" s="1"/>
  <c r="BE167" i="1"/>
  <c r="BB167" i="1"/>
  <c r="BA167" i="1"/>
  <c r="AY167" i="1"/>
  <c r="AZ167" i="1" s="1"/>
  <c r="AQ167" i="1"/>
  <c r="AR167" i="1" s="1"/>
  <c r="AI167" i="1"/>
  <c r="AH167" i="1"/>
  <c r="BF167" i="1" s="1"/>
  <c r="AG167" i="1"/>
  <c r="Y167" i="1"/>
  <c r="N167" i="1"/>
  <c r="K167" i="1"/>
  <c r="M167" i="1" s="1"/>
  <c r="AY166" i="1"/>
  <c r="AZ166" i="1" s="1"/>
  <c r="AQ166" i="1"/>
  <c r="BC166" i="1" s="1"/>
  <c r="AG166" i="1"/>
  <c r="Z166" i="1"/>
  <c r="Y166" i="1"/>
  <c r="N166" i="1"/>
  <c r="K166" i="1"/>
  <c r="M166" i="1" s="1"/>
  <c r="AY165" i="1"/>
  <c r="AQ165" i="1"/>
  <c r="AR165" i="1" s="1"/>
  <c r="AG165" i="1"/>
  <c r="Y165" i="1"/>
  <c r="N165" i="1"/>
  <c r="K165" i="1"/>
  <c r="M165" i="1" s="1"/>
  <c r="AY164" i="1"/>
  <c r="AZ164" i="1" s="1"/>
  <c r="AQ164" i="1"/>
  <c r="AI164" i="1"/>
  <c r="AG164" i="1"/>
  <c r="Y164" i="1"/>
  <c r="Z164" i="1" s="1"/>
  <c r="N164" i="1"/>
  <c r="K164" i="1"/>
  <c r="M164" i="1" s="1"/>
  <c r="BC163" i="1"/>
  <c r="AZ163" i="1"/>
  <c r="AY163" i="1"/>
  <c r="AQ163" i="1"/>
  <c r="BA163" i="1" s="1"/>
  <c r="AG163" i="1"/>
  <c r="Y163" i="1"/>
  <c r="Z163" i="1" s="1"/>
  <c r="N163" i="1"/>
  <c r="K163" i="1"/>
  <c r="M163" i="1" s="1"/>
  <c r="AY162" i="1"/>
  <c r="AZ162" i="1" s="1"/>
  <c r="AQ162" i="1"/>
  <c r="BC162" i="1" s="1"/>
  <c r="AG162" i="1"/>
  <c r="Z162" i="1"/>
  <c r="Y162" i="1"/>
  <c r="N162" i="1"/>
  <c r="K162" i="1"/>
  <c r="M162" i="1" s="1"/>
  <c r="BC161" i="1"/>
  <c r="AY161" i="1"/>
  <c r="AR161" i="1"/>
  <c r="AQ161" i="1"/>
  <c r="AG161" i="1"/>
  <c r="AH161" i="1" s="1"/>
  <c r="Y161" i="1"/>
  <c r="Z161" i="1" s="1"/>
  <c r="N161" i="1"/>
  <c r="K161" i="1"/>
  <c r="M161" i="1" s="1"/>
  <c r="AY160" i="1"/>
  <c r="AZ160" i="1" s="1"/>
  <c r="AQ160" i="1"/>
  <c r="AI160" i="1"/>
  <c r="AH160" i="1"/>
  <c r="AG160" i="1"/>
  <c r="Z160" i="1"/>
  <c r="Y160" i="1"/>
  <c r="BC160" i="1" s="1"/>
  <c r="N160" i="1"/>
  <c r="K160" i="1"/>
  <c r="M160" i="1" s="1"/>
  <c r="AY159" i="1"/>
  <c r="AZ159" i="1" s="1"/>
  <c r="AQ159" i="1"/>
  <c r="AH159" i="1"/>
  <c r="BF159" i="1" s="1"/>
  <c r="AG159" i="1"/>
  <c r="BE159" i="1" s="1"/>
  <c r="Y159" i="1"/>
  <c r="Z159" i="1" s="1"/>
  <c r="N159" i="1"/>
  <c r="K159" i="1"/>
  <c r="M159" i="1" s="1"/>
  <c r="AX158" i="1"/>
  <c r="AW158" i="1"/>
  <c r="AV158" i="1"/>
  <c r="AU158" i="1"/>
  <c r="AT158" i="1"/>
  <c r="AS158" i="1"/>
  <c r="AP158" i="1"/>
  <c r="AO158" i="1"/>
  <c r="AN158" i="1"/>
  <c r="AM158" i="1"/>
  <c r="AL158" i="1"/>
  <c r="AK158" i="1"/>
  <c r="AF158" i="1"/>
  <c r="AE158" i="1"/>
  <c r="AD158" i="1"/>
  <c r="AC158" i="1"/>
  <c r="AB158" i="1"/>
  <c r="AA158" i="1"/>
  <c r="X158" i="1"/>
  <c r="W158" i="1"/>
  <c r="V158" i="1"/>
  <c r="U158" i="1"/>
  <c r="T158" i="1"/>
  <c r="S158" i="1"/>
  <c r="AY157" i="1"/>
  <c r="AZ157" i="1" s="1"/>
  <c r="AQ157" i="1"/>
  <c r="BA157" i="1" s="1"/>
  <c r="AG157" i="1"/>
  <c r="Y157" i="1"/>
  <c r="N157" i="1"/>
  <c r="K157" i="1"/>
  <c r="AY156" i="1"/>
  <c r="AZ156" i="1" s="1"/>
  <c r="AQ156" i="1"/>
  <c r="AG156" i="1"/>
  <c r="Y156" i="1"/>
  <c r="N156" i="1"/>
  <c r="K156" i="1"/>
  <c r="AY155" i="1"/>
  <c r="AZ155" i="1" s="1"/>
  <c r="AQ155" i="1"/>
  <c r="AI155" i="1"/>
  <c r="AH155" i="1"/>
  <c r="BF155" i="1" s="1"/>
  <c r="AG155" i="1"/>
  <c r="Y155" i="1"/>
  <c r="N155" i="1"/>
  <c r="K155" i="1"/>
  <c r="AY154" i="1"/>
  <c r="AZ154" i="1" s="1"/>
  <c r="AQ154" i="1"/>
  <c r="BC154" i="1" s="1"/>
  <c r="AG154" i="1"/>
  <c r="AH154" i="1" s="1"/>
  <c r="BF154" i="1" s="1"/>
  <c r="Y154" i="1"/>
  <c r="Z154" i="1" s="1"/>
  <c r="N154" i="1"/>
  <c r="K154" i="1"/>
  <c r="M154" i="1" s="1"/>
  <c r="AY153" i="1"/>
  <c r="AZ153" i="1" s="1"/>
  <c r="AQ153" i="1"/>
  <c r="AG153" i="1"/>
  <c r="BE153" i="1" s="1"/>
  <c r="Y153" i="1"/>
  <c r="N153" i="1"/>
  <c r="K153" i="1"/>
  <c r="M153" i="1" s="1"/>
  <c r="AY152" i="1"/>
  <c r="AZ152" i="1" s="1"/>
  <c r="AQ152" i="1"/>
  <c r="AG152" i="1"/>
  <c r="Y152" i="1"/>
  <c r="Z152" i="1" s="1"/>
  <c r="N152" i="1"/>
  <c r="K152" i="1"/>
  <c r="M152" i="1" s="1"/>
  <c r="AY151" i="1"/>
  <c r="AZ151" i="1" s="1"/>
  <c r="AR151" i="1"/>
  <c r="BB151" i="1" s="1"/>
  <c r="AQ151" i="1"/>
  <c r="BA151" i="1" s="1"/>
  <c r="AG151" i="1"/>
  <c r="Y151" i="1"/>
  <c r="N151" i="1"/>
  <c r="K151" i="1"/>
  <c r="M151" i="1" s="1"/>
  <c r="BA150" i="1"/>
  <c r="AY150" i="1"/>
  <c r="AZ150" i="1" s="1"/>
  <c r="AQ150" i="1"/>
  <c r="BC150" i="1" s="1"/>
  <c r="AG150" i="1"/>
  <c r="AH150" i="1" s="1"/>
  <c r="BF150" i="1" s="1"/>
  <c r="Y150" i="1"/>
  <c r="Z150" i="1" s="1"/>
  <c r="N150" i="1"/>
  <c r="K150" i="1"/>
  <c r="M150" i="1" s="1"/>
  <c r="AY149" i="1"/>
  <c r="AZ149" i="1" s="1"/>
  <c r="AQ149" i="1"/>
  <c r="AI149" i="1"/>
  <c r="AG149" i="1"/>
  <c r="Y149" i="1"/>
  <c r="Z149" i="1" s="1"/>
  <c r="N149" i="1"/>
  <c r="K149" i="1"/>
  <c r="M149" i="1" s="1"/>
  <c r="AY148" i="1"/>
  <c r="AZ148" i="1" s="1"/>
  <c r="AQ148" i="1"/>
  <c r="AG148" i="1"/>
  <c r="Y148" i="1"/>
  <c r="Z148" i="1" s="1"/>
  <c r="N148" i="1"/>
  <c r="K148" i="1"/>
  <c r="M148" i="1" s="1"/>
  <c r="BE147" i="1"/>
  <c r="BC147" i="1"/>
  <c r="BG147" i="1" s="1"/>
  <c r="AY147" i="1"/>
  <c r="AZ147" i="1" s="1"/>
  <c r="AQ147" i="1"/>
  <c r="AH147" i="1"/>
  <c r="BF147" i="1" s="1"/>
  <c r="AG147" i="1"/>
  <c r="Y147" i="1"/>
  <c r="Z147" i="1" s="1"/>
  <c r="N147" i="1"/>
  <c r="K147" i="1"/>
  <c r="M147" i="1" s="1"/>
  <c r="AY146" i="1"/>
  <c r="AZ146" i="1" s="1"/>
  <c r="AR146" i="1"/>
  <c r="BB146" i="1" s="1"/>
  <c r="AQ146" i="1"/>
  <c r="AG146" i="1"/>
  <c r="Y146" i="1"/>
  <c r="Z146" i="1" s="1"/>
  <c r="N146" i="1"/>
  <c r="K146" i="1"/>
  <c r="M146" i="1" s="1"/>
  <c r="BE145" i="1"/>
  <c r="AY145" i="1"/>
  <c r="AZ145" i="1" s="1"/>
  <c r="AQ145" i="1"/>
  <c r="BA145" i="1" s="1"/>
  <c r="AG145" i="1"/>
  <c r="AH145" i="1" s="1"/>
  <c r="Y145" i="1"/>
  <c r="BC145" i="1" s="1"/>
  <c r="N145" i="1"/>
  <c r="K145" i="1"/>
  <c r="M145" i="1" s="1"/>
  <c r="AY144" i="1"/>
  <c r="AZ144" i="1" s="1"/>
  <c r="AQ144" i="1"/>
  <c r="BC144" i="1" s="1"/>
  <c r="AG144" i="1"/>
  <c r="Y144" i="1"/>
  <c r="Z144" i="1" s="1"/>
  <c r="N144" i="1"/>
  <c r="K144" i="1"/>
  <c r="M144" i="1" s="1"/>
  <c r="AY143" i="1"/>
  <c r="AZ143" i="1" s="1"/>
  <c r="AQ143" i="1"/>
  <c r="AG143" i="1"/>
  <c r="Y143" i="1"/>
  <c r="N143" i="1"/>
  <c r="K143" i="1"/>
  <c r="M143" i="1" s="1"/>
  <c r="AY142" i="1"/>
  <c r="AZ142" i="1" s="1"/>
  <c r="AQ142" i="1"/>
  <c r="AG142" i="1"/>
  <c r="BE142" i="1" s="1"/>
  <c r="Y142" i="1"/>
  <c r="Z142" i="1" s="1"/>
  <c r="N142" i="1"/>
  <c r="K142" i="1"/>
  <c r="M142" i="1" s="1"/>
  <c r="BE141" i="1"/>
  <c r="AY141" i="1"/>
  <c r="AZ141" i="1" s="1"/>
  <c r="AQ141" i="1"/>
  <c r="BA141" i="1" s="1"/>
  <c r="AH141" i="1"/>
  <c r="AG141" i="1"/>
  <c r="Y141" i="1"/>
  <c r="N141" i="1"/>
  <c r="K141" i="1"/>
  <c r="M141" i="1" s="1"/>
  <c r="AY140" i="1"/>
  <c r="AZ140" i="1" s="1"/>
  <c r="AR140" i="1"/>
  <c r="AQ140" i="1"/>
  <c r="AG140" i="1"/>
  <c r="Y140" i="1"/>
  <c r="Z140" i="1" s="1"/>
  <c r="N140" i="1"/>
  <c r="M140" i="1"/>
  <c r="K140" i="1"/>
  <c r="BE139" i="1"/>
  <c r="BC139" i="1"/>
  <c r="BG139" i="1" s="1"/>
  <c r="AY139" i="1"/>
  <c r="AZ139" i="1" s="1"/>
  <c r="AQ139" i="1"/>
  <c r="BA139" i="1" s="1"/>
  <c r="AH139" i="1"/>
  <c r="AG139" i="1"/>
  <c r="Y139" i="1"/>
  <c r="Z139" i="1" s="1"/>
  <c r="N139" i="1"/>
  <c r="K139" i="1"/>
  <c r="M139" i="1" s="1"/>
  <c r="AY138" i="1"/>
  <c r="AQ138" i="1"/>
  <c r="AG138" i="1"/>
  <c r="AH138" i="1" s="1"/>
  <c r="Y138" i="1"/>
  <c r="N138" i="1"/>
  <c r="K138" i="1"/>
  <c r="M138" i="1" s="1"/>
  <c r="AY137" i="1"/>
  <c r="AZ137" i="1" s="1"/>
  <c r="AQ137" i="1"/>
  <c r="AG137" i="1"/>
  <c r="AH137" i="1" s="1"/>
  <c r="Y137" i="1"/>
  <c r="N137" i="1"/>
  <c r="M137" i="1"/>
  <c r="K137" i="1"/>
  <c r="BA136" i="1"/>
  <c r="AY136" i="1"/>
  <c r="AZ136" i="1" s="1"/>
  <c r="AR136" i="1"/>
  <c r="BB136" i="1" s="1"/>
  <c r="AQ136" i="1"/>
  <c r="AG136" i="1"/>
  <c r="Y136" i="1"/>
  <c r="N136" i="1"/>
  <c r="M136" i="1"/>
  <c r="K136" i="1"/>
  <c r="AY135" i="1"/>
  <c r="AZ135" i="1" s="1"/>
  <c r="AR135" i="1"/>
  <c r="AQ135" i="1"/>
  <c r="AH135" i="1"/>
  <c r="BF135" i="1" s="1"/>
  <c r="AG135" i="1"/>
  <c r="Y135" i="1"/>
  <c r="BC135" i="1" s="1"/>
  <c r="N135" i="1"/>
  <c r="K135" i="1"/>
  <c r="M135" i="1" s="1"/>
  <c r="BE134" i="1"/>
  <c r="BC134" i="1"/>
  <c r="AY134" i="1"/>
  <c r="AZ134" i="1" s="1"/>
  <c r="AR134" i="1"/>
  <c r="AQ134" i="1"/>
  <c r="AG134" i="1"/>
  <c r="AH134" i="1" s="1"/>
  <c r="Y134" i="1"/>
  <c r="N134" i="1"/>
  <c r="K134" i="1"/>
  <c r="M134" i="1" s="1"/>
  <c r="AY133" i="1"/>
  <c r="AZ133" i="1" s="1"/>
  <c r="AQ133" i="1"/>
  <c r="AG133" i="1"/>
  <c r="BE133" i="1" s="1"/>
  <c r="Y133" i="1"/>
  <c r="AI133" i="1" s="1"/>
  <c r="N133" i="1"/>
  <c r="M133" i="1"/>
  <c r="K133" i="1"/>
  <c r="AY132" i="1"/>
  <c r="AQ132" i="1"/>
  <c r="AR132" i="1" s="1"/>
  <c r="AG132" i="1"/>
  <c r="AH132" i="1" s="1"/>
  <c r="Y132" i="1"/>
  <c r="BC132" i="1" s="1"/>
  <c r="N132" i="1"/>
  <c r="K132" i="1"/>
  <c r="M132" i="1" s="1"/>
  <c r="AY131" i="1"/>
  <c r="AZ131" i="1" s="1"/>
  <c r="AQ131" i="1"/>
  <c r="AH131" i="1"/>
  <c r="AG131" i="1"/>
  <c r="BE131" i="1" s="1"/>
  <c r="Y131" i="1"/>
  <c r="AI131" i="1" s="1"/>
  <c r="N131" i="1"/>
  <c r="K131" i="1"/>
  <c r="M131" i="1" s="1"/>
  <c r="AY130" i="1"/>
  <c r="AQ130" i="1"/>
  <c r="AR130" i="1" s="1"/>
  <c r="AG130" i="1"/>
  <c r="AH130" i="1" s="1"/>
  <c r="Y130" i="1"/>
  <c r="AI130" i="1" s="1"/>
  <c r="N130" i="1"/>
  <c r="K130" i="1"/>
  <c r="M130" i="1" s="1"/>
  <c r="AY129" i="1"/>
  <c r="AZ129" i="1" s="1"/>
  <c r="AQ129" i="1"/>
  <c r="AG129" i="1"/>
  <c r="Y129" i="1"/>
  <c r="N129" i="1"/>
  <c r="K129" i="1"/>
  <c r="M129" i="1" s="1"/>
  <c r="AX128" i="1"/>
  <c r="AW128" i="1"/>
  <c r="AV128" i="1"/>
  <c r="AU128" i="1"/>
  <c r="AT128" i="1"/>
  <c r="AS128" i="1"/>
  <c r="AP128" i="1"/>
  <c r="AO128" i="1"/>
  <c r="AN128" i="1"/>
  <c r="AM128" i="1"/>
  <c r="AL128" i="1"/>
  <c r="AK128" i="1"/>
  <c r="AQ128" i="1" s="1"/>
  <c r="AF128" i="1"/>
  <c r="AE128" i="1"/>
  <c r="AG128" i="1" s="1"/>
  <c r="AD128" i="1"/>
  <c r="AC128" i="1"/>
  <c r="AB128" i="1"/>
  <c r="AA128" i="1"/>
  <c r="X128" i="1"/>
  <c r="W128" i="1"/>
  <c r="V128" i="1"/>
  <c r="U128" i="1"/>
  <c r="T128" i="1"/>
  <c r="S128" i="1"/>
  <c r="Y128" i="1" s="1"/>
  <c r="BE127" i="1"/>
  <c r="AZ127" i="1"/>
  <c r="AY127" i="1"/>
  <c r="AQ127" i="1"/>
  <c r="BA127" i="1" s="1"/>
  <c r="AG127" i="1"/>
  <c r="AH127" i="1" s="1"/>
  <c r="BF127" i="1" s="1"/>
  <c r="Y127" i="1"/>
  <c r="N127" i="1"/>
  <c r="K127" i="1"/>
  <c r="AY126" i="1"/>
  <c r="AZ126" i="1" s="1"/>
  <c r="AQ126" i="1"/>
  <c r="AG126" i="1"/>
  <c r="Y126" i="1"/>
  <c r="AI126" i="1" s="1"/>
  <c r="N126" i="1"/>
  <c r="K126" i="1"/>
  <c r="BA125" i="1"/>
  <c r="AY125" i="1"/>
  <c r="BE125" i="1" s="1"/>
  <c r="AQ125" i="1"/>
  <c r="BC125" i="1" s="1"/>
  <c r="AI125" i="1"/>
  <c r="AH125" i="1"/>
  <c r="AG125" i="1"/>
  <c r="Z125" i="1"/>
  <c r="Y125" i="1"/>
  <c r="N125" i="1"/>
  <c r="K125" i="1"/>
  <c r="BE124" i="1"/>
  <c r="AY124" i="1"/>
  <c r="AZ124" i="1" s="1"/>
  <c r="AQ124" i="1"/>
  <c r="BA124" i="1" s="1"/>
  <c r="AH124" i="1"/>
  <c r="AG124" i="1"/>
  <c r="Y124" i="1"/>
  <c r="N124" i="1"/>
  <c r="K124" i="1"/>
  <c r="AZ123" i="1"/>
  <c r="AY123" i="1"/>
  <c r="AQ123" i="1"/>
  <c r="AG123" i="1"/>
  <c r="AH123" i="1" s="1"/>
  <c r="Y123" i="1"/>
  <c r="N123" i="1"/>
  <c r="K123" i="1"/>
  <c r="M123" i="1" s="1"/>
  <c r="BA122" i="1"/>
  <c r="AY122" i="1"/>
  <c r="AQ122" i="1"/>
  <c r="AG122" i="1"/>
  <c r="Y122" i="1"/>
  <c r="Z122" i="1" s="1"/>
  <c r="N122" i="1"/>
  <c r="K122" i="1"/>
  <c r="M122" i="1" s="1"/>
  <c r="BE121" i="1"/>
  <c r="BC121" i="1"/>
  <c r="AZ121" i="1"/>
  <c r="BF121" i="1" s="1"/>
  <c r="AY121" i="1"/>
  <c r="AQ121" i="1"/>
  <c r="AG121" i="1"/>
  <c r="AH121" i="1" s="1"/>
  <c r="Y121" i="1"/>
  <c r="N121" i="1"/>
  <c r="M121" i="1"/>
  <c r="K121" i="1"/>
  <c r="AZ120" i="1"/>
  <c r="AY120" i="1"/>
  <c r="AQ120" i="1"/>
  <c r="AG120" i="1"/>
  <c r="AH120" i="1" s="1"/>
  <c r="Z120" i="1"/>
  <c r="Y120" i="1"/>
  <c r="N120" i="1"/>
  <c r="K120" i="1"/>
  <c r="M120" i="1" s="1"/>
  <c r="AY119" i="1"/>
  <c r="AZ119" i="1" s="1"/>
  <c r="AQ119" i="1"/>
  <c r="AG119" i="1"/>
  <c r="Z119" i="1"/>
  <c r="Y119" i="1"/>
  <c r="N119" i="1"/>
  <c r="M119" i="1"/>
  <c r="K119" i="1"/>
  <c r="AY118" i="1"/>
  <c r="AZ118" i="1" s="1"/>
  <c r="AQ118" i="1"/>
  <c r="AG118" i="1"/>
  <c r="Z118" i="1"/>
  <c r="Y118" i="1"/>
  <c r="N118" i="1"/>
  <c r="K118" i="1"/>
  <c r="M118" i="1" s="1"/>
  <c r="BC117" i="1"/>
  <c r="BB117" i="1"/>
  <c r="BA117" i="1"/>
  <c r="AY117" i="1"/>
  <c r="AZ117" i="1" s="1"/>
  <c r="AR117" i="1"/>
  <c r="AQ117" i="1"/>
  <c r="AG117" i="1"/>
  <c r="AH117" i="1" s="1"/>
  <c r="Z117" i="1"/>
  <c r="Y117" i="1"/>
  <c r="N117" i="1"/>
  <c r="M117" i="1"/>
  <c r="K117" i="1"/>
  <c r="AY116" i="1"/>
  <c r="AZ116" i="1" s="1"/>
  <c r="AQ116" i="1"/>
  <c r="AI116" i="1"/>
  <c r="AH116" i="1"/>
  <c r="AG116" i="1"/>
  <c r="Z116" i="1"/>
  <c r="Y116" i="1"/>
  <c r="N116" i="1"/>
  <c r="K116" i="1"/>
  <c r="M116" i="1" s="1"/>
  <c r="AY115" i="1"/>
  <c r="BE115" i="1" s="1"/>
  <c r="AR115" i="1"/>
  <c r="AQ115" i="1"/>
  <c r="BA115" i="1" s="1"/>
  <c r="AG115" i="1"/>
  <c r="AH115" i="1" s="1"/>
  <c r="Y115" i="1"/>
  <c r="AI115" i="1" s="1"/>
  <c r="N115" i="1"/>
  <c r="K115" i="1"/>
  <c r="M115" i="1" s="1"/>
  <c r="AY114" i="1"/>
  <c r="AZ114" i="1" s="1"/>
  <c r="AQ114" i="1"/>
  <c r="AR114" i="1" s="1"/>
  <c r="AI114" i="1"/>
  <c r="AH114" i="1"/>
  <c r="BF114" i="1" s="1"/>
  <c r="AG114" i="1"/>
  <c r="Y114" i="1"/>
  <c r="Z114" i="1" s="1"/>
  <c r="N114" i="1"/>
  <c r="K114" i="1"/>
  <c r="M114" i="1" s="1"/>
  <c r="AZ113" i="1"/>
  <c r="BF113" i="1" s="1"/>
  <c r="AY113" i="1"/>
  <c r="AQ113" i="1"/>
  <c r="AG113" i="1"/>
  <c r="AH113" i="1" s="1"/>
  <c r="Y113" i="1"/>
  <c r="N113" i="1"/>
  <c r="M113" i="1"/>
  <c r="K113" i="1"/>
  <c r="AY112" i="1"/>
  <c r="AZ112" i="1" s="1"/>
  <c r="AQ112" i="1"/>
  <c r="AH112" i="1"/>
  <c r="AG112" i="1"/>
  <c r="BE112" i="1" s="1"/>
  <c r="Y112" i="1"/>
  <c r="N112" i="1"/>
  <c r="K112" i="1"/>
  <c r="M112" i="1" s="1"/>
  <c r="BA111" i="1"/>
  <c r="AY111" i="1"/>
  <c r="AZ111" i="1" s="1"/>
  <c r="BB111" i="1" s="1"/>
  <c r="AR111" i="1"/>
  <c r="AQ111" i="1"/>
  <c r="AG111" i="1"/>
  <c r="Y111" i="1"/>
  <c r="BC111" i="1" s="1"/>
  <c r="N111" i="1"/>
  <c r="M111" i="1"/>
  <c r="K111" i="1"/>
  <c r="AY110" i="1"/>
  <c r="AZ110" i="1" s="1"/>
  <c r="AQ110" i="1"/>
  <c r="BC110" i="1" s="1"/>
  <c r="AG110" i="1"/>
  <c r="BE110" i="1" s="1"/>
  <c r="Z110" i="1"/>
  <c r="Y110" i="1"/>
  <c r="AI110" i="1" s="1"/>
  <c r="N110" i="1"/>
  <c r="K110" i="1"/>
  <c r="M110" i="1" s="1"/>
  <c r="AY109" i="1"/>
  <c r="AZ109" i="1" s="1"/>
  <c r="AQ109" i="1"/>
  <c r="AR109" i="1" s="1"/>
  <c r="AG109" i="1"/>
  <c r="Y109" i="1"/>
  <c r="N109" i="1"/>
  <c r="K109" i="1"/>
  <c r="M109" i="1" s="1"/>
  <c r="AY108" i="1"/>
  <c r="AZ108" i="1" s="1"/>
  <c r="AQ108" i="1"/>
  <c r="BC108" i="1" s="1"/>
  <c r="AI108" i="1"/>
  <c r="AH108" i="1"/>
  <c r="AG108" i="1"/>
  <c r="Y108" i="1"/>
  <c r="Z108" i="1" s="1"/>
  <c r="AJ108" i="1" s="1"/>
  <c r="N108" i="1"/>
  <c r="K108" i="1"/>
  <c r="M108" i="1" s="1"/>
  <c r="AY107" i="1"/>
  <c r="AZ107" i="1" s="1"/>
  <c r="AQ107" i="1"/>
  <c r="AG107" i="1"/>
  <c r="AH107" i="1" s="1"/>
  <c r="Y107" i="1"/>
  <c r="N107" i="1"/>
  <c r="K107" i="1"/>
  <c r="M107" i="1" s="1"/>
  <c r="AY106" i="1"/>
  <c r="BA106" i="1" s="1"/>
  <c r="AQ106" i="1"/>
  <c r="BC106" i="1" s="1"/>
  <c r="AI106" i="1"/>
  <c r="AH106" i="1"/>
  <c r="AG106" i="1"/>
  <c r="Y106" i="1"/>
  <c r="Z106" i="1" s="1"/>
  <c r="AJ106" i="1" s="1"/>
  <c r="N106" i="1"/>
  <c r="K106" i="1"/>
  <c r="M106" i="1" s="1"/>
  <c r="AY105" i="1"/>
  <c r="AZ105" i="1" s="1"/>
  <c r="AQ105" i="1"/>
  <c r="AR105" i="1" s="1"/>
  <c r="AG105" i="1"/>
  <c r="Y105" i="1"/>
  <c r="AI105" i="1" s="1"/>
  <c r="N105" i="1"/>
  <c r="M105" i="1"/>
  <c r="K105" i="1"/>
  <c r="AY104" i="1"/>
  <c r="AZ104" i="1" s="1"/>
  <c r="AQ104" i="1"/>
  <c r="AG104" i="1"/>
  <c r="Z104" i="1"/>
  <c r="Y104" i="1"/>
  <c r="N104" i="1"/>
  <c r="K104" i="1"/>
  <c r="M104" i="1" s="1"/>
  <c r="BE103" i="1"/>
  <c r="BB103" i="1"/>
  <c r="BA103" i="1"/>
  <c r="AY103" i="1"/>
  <c r="AZ103" i="1" s="1"/>
  <c r="AQ103" i="1"/>
  <c r="AR103" i="1" s="1"/>
  <c r="AG103" i="1"/>
  <c r="AH103" i="1" s="1"/>
  <c r="Y103" i="1"/>
  <c r="AI103" i="1" s="1"/>
  <c r="N103" i="1"/>
  <c r="M103" i="1"/>
  <c r="K103" i="1"/>
  <c r="AY102" i="1"/>
  <c r="AZ102" i="1" s="1"/>
  <c r="AQ102" i="1"/>
  <c r="AG102" i="1"/>
  <c r="BE102" i="1" s="1"/>
  <c r="Y102" i="1"/>
  <c r="Z102" i="1" s="1"/>
  <c r="N102" i="1"/>
  <c r="K102" i="1"/>
  <c r="M102" i="1" s="1"/>
  <c r="AY101" i="1"/>
  <c r="AZ101" i="1" s="1"/>
  <c r="AQ101" i="1"/>
  <c r="AG101" i="1"/>
  <c r="Y101" i="1"/>
  <c r="N101" i="1"/>
  <c r="M101" i="1"/>
  <c r="K101" i="1"/>
  <c r="AY100" i="1"/>
  <c r="AZ100" i="1" s="1"/>
  <c r="AQ100" i="1"/>
  <c r="BC100" i="1" s="1"/>
  <c r="AI100" i="1"/>
  <c r="AH100" i="1"/>
  <c r="AG100" i="1"/>
  <c r="Y100" i="1"/>
  <c r="Z100" i="1" s="1"/>
  <c r="N100" i="1"/>
  <c r="K100" i="1"/>
  <c r="M100" i="1" s="1"/>
  <c r="AY99" i="1"/>
  <c r="AZ99" i="1" s="1"/>
  <c r="AR99" i="1"/>
  <c r="BB99" i="1" s="1"/>
  <c r="AQ99" i="1"/>
  <c r="AG99" i="1"/>
  <c r="BE99" i="1" s="1"/>
  <c r="Y99" i="1"/>
  <c r="N99" i="1"/>
  <c r="K99" i="1"/>
  <c r="M99" i="1" s="1"/>
  <c r="AX98" i="1"/>
  <c r="AW98" i="1"/>
  <c r="AV98" i="1"/>
  <c r="AU98" i="1"/>
  <c r="AT98" i="1"/>
  <c r="AS98" i="1"/>
  <c r="AP98" i="1"/>
  <c r="AO98" i="1"/>
  <c r="AN98" i="1"/>
  <c r="AM98" i="1"/>
  <c r="AL98" i="1"/>
  <c r="AK98" i="1"/>
  <c r="AF98" i="1"/>
  <c r="AE98" i="1"/>
  <c r="AD98" i="1"/>
  <c r="AC98" i="1"/>
  <c r="AB98" i="1"/>
  <c r="AA98" i="1"/>
  <c r="X98" i="1"/>
  <c r="W98" i="1"/>
  <c r="V98" i="1"/>
  <c r="U98" i="1"/>
  <c r="T98" i="1"/>
  <c r="S98" i="1"/>
  <c r="Y98" i="1" s="1"/>
  <c r="BE97" i="1"/>
  <c r="BC97" i="1"/>
  <c r="AY97" i="1"/>
  <c r="AZ97" i="1" s="1"/>
  <c r="BF97" i="1" s="1"/>
  <c r="AR97" i="1"/>
  <c r="AQ97" i="1"/>
  <c r="AG97" i="1"/>
  <c r="AH97" i="1" s="1"/>
  <c r="Y97" i="1"/>
  <c r="N97" i="1"/>
  <c r="K97" i="1"/>
  <c r="AY96" i="1"/>
  <c r="AZ96" i="1" s="1"/>
  <c r="AQ96" i="1"/>
  <c r="AH96" i="1"/>
  <c r="BF96" i="1" s="1"/>
  <c r="AG96" i="1"/>
  <c r="BE96" i="1" s="1"/>
  <c r="Y96" i="1"/>
  <c r="Z96" i="1" s="1"/>
  <c r="N96" i="1"/>
  <c r="K96" i="1"/>
  <c r="AY95" i="1"/>
  <c r="AZ95" i="1" s="1"/>
  <c r="AQ95" i="1"/>
  <c r="AG95" i="1"/>
  <c r="AH95" i="1" s="1"/>
  <c r="BF95" i="1" s="1"/>
  <c r="Y95" i="1"/>
  <c r="N95" i="1"/>
  <c r="K95" i="1"/>
  <c r="AY94" i="1"/>
  <c r="AZ94" i="1" s="1"/>
  <c r="AQ94" i="1"/>
  <c r="AG94" i="1"/>
  <c r="BE94" i="1" s="1"/>
  <c r="Y94" i="1"/>
  <c r="Z94" i="1" s="1"/>
  <c r="N94" i="1"/>
  <c r="K94" i="1"/>
  <c r="AY93" i="1"/>
  <c r="AZ93" i="1" s="1"/>
  <c r="AQ93" i="1"/>
  <c r="AR93" i="1" s="1"/>
  <c r="BB93" i="1" s="1"/>
  <c r="AG93" i="1"/>
  <c r="AH93" i="1" s="1"/>
  <c r="BF93" i="1" s="1"/>
  <c r="Y93" i="1"/>
  <c r="N93" i="1"/>
  <c r="K93" i="1"/>
  <c r="M93" i="1" s="1"/>
  <c r="AY92" i="1"/>
  <c r="AZ92" i="1" s="1"/>
  <c r="AR92" i="1"/>
  <c r="BB92" i="1" s="1"/>
  <c r="AQ92" i="1"/>
  <c r="AG92" i="1"/>
  <c r="Y92" i="1"/>
  <c r="N92" i="1"/>
  <c r="K92" i="1"/>
  <c r="M92" i="1" s="1"/>
  <c r="BE91" i="1"/>
  <c r="AY91" i="1"/>
  <c r="AZ91" i="1" s="1"/>
  <c r="AQ91" i="1"/>
  <c r="AR91" i="1" s="1"/>
  <c r="BB91" i="1" s="1"/>
  <c r="AG91" i="1"/>
  <c r="AH91" i="1" s="1"/>
  <c r="Y91" i="1"/>
  <c r="N91" i="1"/>
  <c r="K91" i="1"/>
  <c r="M91" i="1" s="1"/>
  <c r="AY90" i="1"/>
  <c r="AZ90" i="1" s="1"/>
  <c r="AQ90" i="1"/>
  <c r="BA90" i="1" s="1"/>
  <c r="AG90" i="1"/>
  <c r="BE90" i="1" s="1"/>
  <c r="Y90" i="1"/>
  <c r="N90" i="1"/>
  <c r="K90" i="1"/>
  <c r="M90" i="1" s="1"/>
  <c r="BE89" i="1"/>
  <c r="AY89" i="1"/>
  <c r="AZ89" i="1" s="1"/>
  <c r="AR89" i="1"/>
  <c r="BB89" i="1" s="1"/>
  <c r="AQ89" i="1"/>
  <c r="AG89" i="1"/>
  <c r="AH89" i="1" s="1"/>
  <c r="Y89" i="1"/>
  <c r="N89" i="1"/>
  <c r="K89" i="1"/>
  <c r="M89" i="1" s="1"/>
  <c r="AY88" i="1"/>
  <c r="AZ88" i="1" s="1"/>
  <c r="AQ88" i="1"/>
  <c r="AH88" i="1"/>
  <c r="BF88" i="1" s="1"/>
  <c r="AG88" i="1"/>
  <c r="BE88" i="1" s="1"/>
  <c r="Y88" i="1"/>
  <c r="N88" i="1"/>
  <c r="K88" i="1"/>
  <c r="M88" i="1" s="1"/>
  <c r="AY87" i="1"/>
  <c r="AZ87" i="1" s="1"/>
  <c r="AQ87" i="1"/>
  <c r="AR87" i="1" s="1"/>
  <c r="AG87" i="1"/>
  <c r="Y87" i="1"/>
  <c r="BC87" i="1" s="1"/>
  <c r="N87" i="1"/>
  <c r="M87" i="1"/>
  <c r="K87" i="1"/>
  <c r="AY86" i="1"/>
  <c r="AZ86" i="1" s="1"/>
  <c r="AR86" i="1"/>
  <c r="AQ86" i="1"/>
  <c r="AG86" i="1"/>
  <c r="Y86" i="1"/>
  <c r="N86" i="1"/>
  <c r="K86" i="1"/>
  <c r="M86" i="1" s="1"/>
  <c r="AY85" i="1"/>
  <c r="AZ85" i="1" s="1"/>
  <c r="AQ85" i="1"/>
  <c r="BA85" i="1" s="1"/>
  <c r="AG85" i="1"/>
  <c r="Y85" i="1"/>
  <c r="BC85" i="1" s="1"/>
  <c r="N85" i="1"/>
  <c r="K85" i="1"/>
  <c r="M85" i="1" s="1"/>
  <c r="AY84" i="1"/>
  <c r="AZ84" i="1" s="1"/>
  <c r="AR84" i="1"/>
  <c r="BB84" i="1" s="1"/>
  <c r="AQ84" i="1"/>
  <c r="AG84" i="1"/>
  <c r="Y84" i="1"/>
  <c r="N84" i="1"/>
  <c r="K84" i="1"/>
  <c r="M84" i="1" s="1"/>
  <c r="AY83" i="1"/>
  <c r="AZ83" i="1" s="1"/>
  <c r="AQ83" i="1"/>
  <c r="BA83" i="1" s="1"/>
  <c r="AG83" i="1"/>
  <c r="Y83" i="1"/>
  <c r="N83" i="1"/>
  <c r="M83" i="1"/>
  <c r="K83" i="1"/>
  <c r="AY82" i="1"/>
  <c r="AZ82" i="1" s="1"/>
  <c r="AQ82" i="1"/>
  <c r="BA82" i="1" s="1"/>
  <c r="AG82" i="1"/>
  <c r="Y82" i="1"/>
  <c r="N82" i="1"/>
  <c r="K82" i="1"/>
  <c r="M82" i="1" s="1"/>
  <c r="AY81" i="1"/>
  <c r="AZ81" i="1" s="1"/>
  <c r="AR81" i="1"/>
  <c r="AQ81" i="1"/>
  <c r="AG81" i="1"/>
  <c r="AH81" i="1" s="1"/>
  <c r="BF81" i="1" s="1"/>
  <c r="Y81" i="1"/>
  <c r="BC81" i="1" s="1"/>
  <c r="N81" i="1"/>
  <c r="K81" i="1"/>
  <c r="M81" i="1" s="1"/>
  <c r="AY80" i="1"/>
  <c r="AZ80" i="1" s="1"/>
  <c r="AQ80" i="1"/>
  <c r="BA80" i="1" s="1"/>
  <c r="AG80" i="1"/>
  <c r="Y80" i="1"/>
  <c r="N80" i="1"/>
  <c r="K80" i="1"/>
  <c r="M80" i="1" s="1"/>
  <c r="AY79" i="1"/>
  <c r="AZ79" i="1" s="1"/>
  <c r="AQ79" i="1"/>
  <c r="AR79" i="1" s="1"/>
  <c r="BB79" i="1" s="1"/>
  <c r="AG79" i="1"/>
  <c r="AH79" i="1" s="1"/>
  <c r="BF79" i="1" s="1"/>
  <c r="Y79" i="1"/>
  <c r="BC79" i="1" s="1"/>
  <c r="N79" i="1"/>
  <c r="K79" i="1"/>
  <c r="M79" i="1" s="1"/>
  <c r="AY78" i="1"/>
  <c r="AZ78" i="1" s="1"/>
  <c r="AQ78" i="1"/>
  <c r="BA78" i="1" s="1"/>
  <c r="AG78" i="1"/>
  <c r="Y78" i="1"/>
  <c r="N78" i="1"/>
  <c r="K78" i="1"/>
  <c r="M78" i="1" s="1"/>
  <c r="AY77" i="1"/>
  <c r="AZ77" i="1" s="1"/>
  <c r="AQ77" i="1"/>
  <c r="AR77" i="1" s="1"/>
  <c r="BB77" i="1" s="1"/>
  <c r="AG77" i="1"/>
  <c r="AH77" i="1" s="1"/>
  <c r="BF77" i="1" s="1"/>
  <c r="Y77" i="1"/>
  <c r="N77" i="1"/>
  <c r="K77" i="1"/>
  <c r="M77" i="1" s="1"/>
  <c r="BA76" i="1"/>
  <c r="AY76" i="1"/>
  <c r="AZ76" i="1" s="1"/>
  <c r="AQ76" i="1"/>
  <c r="AR76" i="1" s="1"/>
  <c r="BB76" i="1" s="1"/>
  <c r="AG76" i="1"/>
  <c r="Y76" i="1"/>
  <c r="Z76" i="1" s="1"/>
  <c r="N76" i="1"/>
  <c r="K76" i="1"/>
  <c r="M76" i="1" s="1"/>
  <c r="AY75" i="1"/>
  <c r="AZ75" i="1" s="1"/>
  <c r="AQ75" i="1"/>
  <c r="BA75" i="1" s="1"/>
  <c r="AG75" i="1"/>
  <c r="AH75" i="1" s="1"/>
  <c r="Y75" i="1"/>
  <c r="N75" i="1"/>
  <c r="K75" i="1"/>
  <c r="M75" i="1" s="1"/>
  <c r="AY74" i="1"/>
  <c r="AZ74" i="1" s="1"/>
  <c r="AQ74" i="1"/>
  <c r="AR74" i="1" s="1"/>
  <c r="AG74" i="1"/>
  <c r="BE74" i="1" s="1"/>
  <c r="Y74" i="1"/>
  <c r="N74" i="1"/>
  <c r="K74" i="1"/>
  <c r="M74" i="1" s="1"/>
  <c r="AY73" i="1"/>
  <c r="AZ73" i="1" s="1"/>
  <c r="AQ73" i="1"/>
  <c r="BA73" i="1" s="1"/>
  <c r="AG73" i="1"/>
  <c r="Y73" i="1"/>
  <c r="Z73" i="1" s="1"/>
  <c r="N73" i="1"/>
  <c r="K73" i="1"/>
  <c r="M73" i="1" s="1"/>
  <c r="AY72" i="1"/>
  <c r="AZ72" i="1" s="1"/>
  <c r="AQ72" i="1"/>
  <c r="AG72" i="1"/>
  <c r="AH72" i="1" s="1"/>
  <c r="Y72" i="1"/>
  <c r="Z72" i="1" s="1"/>
  <c r="N72" i="1"/>
  <c r="K72" i="1"/>
  <c r="M72" i="1" s="1"/>
  <c r="AY71" i="1"/>
  <c r="AZ71" i="1" s="1"/>
  <c r="BB71" i="1" s="1"/>
  <c r="AR71" i="1"/>
  <c r="AQ71" i="1"/>
  <c r="AG71" i="1"/>
  <c r="AH71" i="1" s="1"/>
  <c r="Y71" i="1"/>
  <c r="N71" i="1"/>
  <c r="K71" i="1"/>
  <c r="M71" i="1" s="1"/>
  <c r="BE70" i="1"/>
  <c r="BA70" i="1"/>
  <c r="AY70" i="1"/>
  <c r="AZ70" i="1" s="1"/>
  <c r="AQ70" i="1"/>
  <c r="AR70" i="1" s="1"/>
  <c r="BB70" i="1" s="1"/>
  <c r="AG70" i="1"/>
  <c r="AH70" i="1" s="1"/>
  <c r="Y70" i="1"/>
  <c r="N70" i="1"/>
  <c r="K70" i="1"/>
  <c r="M70" i="1" s="1"/>
  <c r="BE69" i="1"/>
  <c r="AY69" i="1"/>
  <c r="AZ69" i="1" s="1"/>
  <c r="AQ69" i="1"/>
  <c r="BC69" i="1" s="1"/>
  <c r="BG69" i="1" s="1"/>
  <c r="AI69" i="1"/>
  <c r="AG69" i="1"/>
  <c r="Y69" i="1"/>
  <c r="Z69" i="1" s="1"/>
  <c r="N69" i="1"/>
  <c r="K69" i="1"/>
  <c r="M69" i="1" s="1"/>
  <c r="AX68" i="1"/>
  <c r="AW68" i="1"/>
  <c r="AV68" i="1"/>
  <c r="AU68" i="1"/>
  <c r="AT68" i="1"/>
  <c r="AS68" i="1"/>
  <c r="AP68" i="1"/>
  <c r="AO68" i="1"/>
  <c r="AN68" i="1"/>
  <c r="AM68" i="1"/>
  <c r="AL68" i="1"/>
  <c r="AK68" i="1"/>
  <c r="AF68" i="1"/>
  <c r="AE68" i="1"/>
  <c r="AD68" i="1"/>
  <c r="AC68" i="1"/>
  <c r="AB68" i="1"/>
  <c r="AA68" i="1"/>
  <c r="X68" i="1"/>
  <c r="W68" i="1"/>
  <c r="V68" i="1"/>
  <c r="U68" i="1"/>
  <c r="T68" i="1"/>
  <c r="S68" i="1"/>
  <c r="AY67" i="1"/>
  <c r="AZ67" i="1" s="1"/>
  <c r="AR67" i="1"/>
  <c r="BB67" i="1" s="1"/>
  <c r="AQ67" i="1"/>
  <c r="AG67" i="1"/>
  <c r="Y67" i="1"/>
  <c r="Z67" i="1" s="1"/>
  <c r="N67" i="1"/>
  <c r="K67" i="1"/>
  <c r="AZ66" i="1"/>
  <c r="AY66" i="1"/>
  <c r="AQ66" i="1"/>
  <c r="AG66" i="1"/>
  <c r="AH66" i="1" s="1"/>
  <c r="Y66" i="1"/>
  <c r="N66" i="1"/>
  <c r="K66" i="1"/>
  <c r="AY65" i="1"/>
  <c r="AZ65" i="1" s="1"/>
  <c r="AQ65" i="1"/>
  <c r="AR65" i="1" s="1"/>
  <c r="AG65" i="1"/>
  <c r="Y65" i="1"/>
  <c r="N65" i="1"/>
  <c r="K65" i="1"/>
  <c r="AY64" i="1"/>
  <c r="AZ64" i="1" s="1"/>
  <c r="AQ64" i="1"/>
  <c r="BA64" i="1" s="1"/>
  <c r="AG64" i="1"/>
  <c r="Y64" i="1"/>
  <c r="N64" i="1"/>
  <c r="K64" i="1"/>
  <c r="AY63" i="1"/>
  <c r="AZ63" i="1" s="1"/>
  <c r="AQ63" i="1"/>
  <c r="AG63" i="1"/>
  <c r="Z63" i="1"/>
  <c r="Y63" i="1"/>
  <c r="N63" i="1"/>
  <c r="K63" i="1"/>
  <c r="AY62" i="1"/>
  <c r="BE62" i="1" s="1"/>
  <c r="AQ62" i="1"/>
  <c r="AR62" i="1" s="1"/>
  <c r="AG62" i="1"/>
  <c r="AI62" i="1" s="1"/>
  <c r="Z62" i="1"/>
  <c r="Y62" i="1"/>
  <c r="N62" i="1"/>
  <c r="K62" i="1"/>
  <c r="AZ61" i="1"/>
  <c r="AY61" i="1"/>
  <c r="AQ61" i="1"/>
  <c r="AR61" i="1" s="1"/>
  <c r="AG61" i="1"/>
  <c r="Z61" i="1"/>
  <c r="BD61" i="1" s="1"/>
  <c r="Y61" i="1"/>
  <c r="N61" i="1"/>
  <c r="K61" i="1"/>
  <c r="AY60" i="1"/>
  <c r="AZ60" i="1" s="1"/>
  <c r="AQ60" i="1"/>
  <c r="AG60" i="1"/>
  <c r="Y60" i="1"/>
  <c r="N60" i="1"/>
  <c r="K60" i="1"/>
  <c r="AY59" i="1"/>
  <c r="AZ59" i="1" s="1"/>
  <c r="AQ59" i="1"/>
  <c r="AR59" i="1" s="1"/>
  <c r="AG59" i="1"/>
  <c r="Y59" i="1"/>
  <c r="BC59" i="1" s="1"/>
  <c r="N59" i="1"/>
  <c r="K59" i="1"/>
  <c r="BC58" i="1"/>
  <c r="BA58" i="1"/>
  <c r="AY58" i="1"/>
  <c r="AQ58" i="1"/>
  <c r="AR58" i="1" s="1"/>
  <c r="AG58" i="1"/>
  <c r="Z58" i="1"/>
  <c r="BD58" i="1" s="1"/>
  <c r="Y58" i="1"/>
  <c r="N58" i="1"/>
  <c r="K58" i="1"/>
  <c r="BA57" i="1"/>
  <c r="AZ57" i="1"/>
  <c r="AY57" i="1"/>
  <c r="AQ57" i="1"/>
  <c r="AR57" i="1" s="1"/>
  <c r="AG57" i="1"/>
  <c r="AH57" i="1" s="1"/>
  <c r="Y57" i="1"/>
  <c r="Z57" i="1" s="1"/>
  <c r="AJ57" i="1" s="1"/>
  <c r="N57" i="1"/>
  <c r="K57" i="1"/>
  <c r="AY56" i="1"/>
  <c r="AZ56" i="1" s="1"/>
  <c r="AQ56" i="1"/>
  <c r="AG56" i="1"/>
  <c r="Z56" i="1"/>
  <c r="Y56" i="1"/>
  <c r="BC56" i="1" s="1"/>
  <c r="N56" i="1"/>
  <c r="K56" i="1"/>
  <c r="M56" i="1" s="1"/>
  <c r="BC55" i="1"/>
  <c r="BA55" i="1"/>
  <c r="AZ55" i="1"/>
  <c r="AY55" i="1"/>
  <c r="AQ55" i="1"/>
  <c r="AR55" i="1" s="1"/>
  <c r="AG55" i="1"/>
  <c r="AI55" i="1" s="1"/>
  <c r="Y55" i="1"/>
  <c r="Z55" i="1" s="1"/>
  <c r="N55" i="1"/>
  <c r="K55" i="1"/>
  <c r="M55" i="1" s="1"/>
  <c r="AY54" i="1"/>
  <c r="AZ54" i="1" s="1"/>
  <c r="AQ54" i="1"/>
  <c r="BA54" i="1" s="1"/>
  <c r="AG54" i="1"/>
  <c r="Z54" i="1"/>
  <c r="Y54" i="1"/>
  <c r="N54" i="1"/>
  <c r="K54" i="1"/>
  <c r="M54" i="1" s="1"/>
  <c r="AZ53" i="1"/>
  <c r="AY53" i="1"/>
  <c r="AQ53" i="1"/>
  <c r="AR53" i="1" s="1"/>
  <c r="BB53" i="1" s="1"/>
  <c r="AG53" i="1"/>
  <c r="AH53" i="1" s="1"/>
  <c r="Y53" i="1"/>
  <c r="AI53" i="1" s="1"/>
  <c r="N53" i="1"/>
  <c r="K53" i="1"/>
  <c r="M53" i="1" s="1"/>
  <c r="BC52" i="1"/>
  <c r="BA52" i="1"/>
  <c r="AZ52" i="1"/>
  <c r="AY52" i="1"/>
  <c r="AQ52" i="1"/>
  <c r="AR52" i="1" s="1"/>
  <c r="AG52" i="1"/>
  <c r="Z52" i="1"/>
  <c r="Y52" i="1"/>
  <c r="N52" i="1"/>
  <c r="K52" i="1"/>
  <c r="M52" i="1" s="1"/>
  <c r="AY51" i="1"/>
  <c r="AZ51" i="1" s="1"/>
  <c r="AQ51" i="1"/>
  <c r="AR51" i="1" s="1"/>
  <c r="AG51" i="1"/>
  <c r="Y51" i="1"/>
  <c r="Z51" i="1" s="1"/>
  <c r="N51" i="1"/>
  <c r="K51" i="1"/>
  <c r="M51" i="1" s="1"/>
  <c r="BC50" i="1"/>
  <c r="AY50" i="1"/>
  <c r="AZ50" i="1" s="1"/>
  <c r="AQ50" i="1"/>
  <c r="AR50" i="1" s="1"/>
  <c r="AG50" i="1"/>
  <c r="Y50" i="1"/>
  <c r="Z50" i="1" s="1"/>
  <c r="BD50" i="1" s="1"/>
  <c r="N50" i="1"/>
  <c r="K50" i="1"/>
  <c r="M50" i="1" s="1"/>
  <c r="AZ49" i="1"/>
  <c r="AY49" i="1"/>
  <c r="AQ49" i="1"/>
  <c r="AR49" i="1" s="1"/>
  <c r="AG49" i="1"/>
  <c r="Y49" i="1"/>
  <c r="Z49" i="1" s="1"/>
  <c r="N49" i="1"/>
  <c r="K49" i="1"/>
  <c r="M49" i="1" s="1"/>
  <c r="AY48" i="1"/>
  <c r="BA48" i="1" s="1"/>
  <c r="AQ48" i="1"/>
  <c r="AR48" i="1" s="1"/>
  <c r="AI48" i="1"/>
  <c r="AG48" i="1"/>
  <c r="AH48" i="1" s="1"/>
  <c r="Z48" i="1"/>
  <c r="Y48" i="1"/>
  <c r="BC48" i="1" s="1"/>
  <c r="N48" i="1"/>
  <c r="K48" i="1"/>
  <c r="M48" i="1" s="1"/>
  <c r="AY47" i="1"/>
  <c r="AZ47" i="1" s="1"/>
  <c r="AQ47" i="1"/>
  <c r="AI47" i="1"/>
  <c r="AG47" i="1"/>
  <c r="Y47" i="1"/>
  <c r="Z47" i="1" s="1"/>
  <c r="N47" i="1"/>
  <c r="K47" i="1"/>
  <c r="M47" i="1" s="1"/>
  <c r="BE46" i="1"/>
  <c r="AZ46" i="1"/>
  <c r="AY46" i="1"/>
  <c r="AQ46" i="1"/>
  <c r="AR46" i="1" s="1"/>
  <c r="AI46" i="1"/>
  <c r="AG46" i="1"/>
  <c r="AH46" i="1" s="1"/>
  <c r="BF46" i="1" s="1"/>
  <c r="Y46" i="1"/>
  <c r="BC46" i="1" s="1"/>
  <c r="BG46" i="1" s="1"/>
  <c r="N46" i="1"/>
  <c r="K46" i="1"/>
  <c r="M46" i="1" s="1"/>
  <c r="BA45" i="1"/>
  <c r="AY45" i="1"/>
  <c r="AZ45" i="1" s="1"/>
  <c r="AQ45" i="1"/>
  <c r="AR45" i="1" s="1"/>
  <c r="AG45" i="1"/>
  <c r="Y45" i="1"/>
  <c r="Z45" i="1" s="1"/>
  <c r="BD45" i="1" s="1"/>
  <c r="N45" i="1"/>
  <c r="K45" i="1"/>
  <c r="M45" i="1" s="1"/>
  <c r="BD44" i="1"/>
  <c r="AY44" i="1"/>
  <c r="AZ44" i="1" s="1"/>
  <c r="AQ44" i="1"/>
  <c r="AR44" i="1" s="1"/>
  <c r="AG44" i="1"/>
  <c r="AH44" i="1" s="1"/>
  <c r="BF44" i="1" s="1"/>
  <c r="Y44" i="1"/>
  <c r="Z44" i="1" s="1"/>
  <c r="N44" i="1"/>
  <c r="K44" i="1"/>
  <c r="M44" i="1" s="1"/>
  <c r="BD43" i="1"/>
  <c r="BC43" i="1"/>
  <c r="AY43" i="1"/>
  <c r="AZ43" i="1" s="1"/>
  <c r="BB43" i="1" s="1"/>
  <c r="AQ43" i="1"/>
  <c r="AR43" i="1" s="1"/>
  <c r="AG43" i="1"/>
  <c r="Y43" i="1"/>
  <c r="Z43" i="1" s="1"/>
  <c r="N43" i="1"/>
  <c r="K43" i="1"/>
  <c r="M43" i="1" s="1"/>
  <c r="AY42" i="1"/>
  <c r="AZ42" i="1" s="1"/>
  <c r="AQ42" i="1"/>
  <c r="AR42" i="1" s="1"/>
  <c r="AG42" i="1"/>
  <c r="AH42" i="1" s="1"/>
  <c r="Y42" i="1"/>
  <c r="AI42" i="1" s="1"/>
  <c r="N42" i="1"/>
  <c r="K42" i="1"/>
  <c r="M42" i="1" s="1"/>
  <c r="BE41" i="1"/>
  <c r="BA41" i="1"/>
  <c r="AZ41" i="1"/>
  <c r="AY41" i="1"/>
  <c r="AQ41" i="1"/>
  <c r="AR41" i="1" s="1"/>
  <c r="AG41" i="1"/>
  <c r="AH41" i="1" s="1"/>
  <c r="Y41" i="1"/>
  <c r="Z41" i="1" s="1"/>
  <c r="N41" i="1"/>
  <c r="M41" i="1"/>
  <c r="K41" i="1"/>
  <c r="AY40" i="1"/>
  <c r="AZ40" i="1" s="1"/>
  <c r="AQ40" i="1"/>
  <c r="AR40" i="1" s="1"/>
  <c r="BB40" i="1" s="1"/>
  <c r="AG40" i="1"/>
  <c r="Y40" i="1"/>
  <c r="Z40" i="1" s="1"/>
  <c r="N40" i="1"/>
  <c r="K40" i="1"/>
  <c r="M40" i="1" s="1"/>
  <c r="AY39" i="1"/>
  <c r="AZ39" i="1" s="1"/>
  <c r="AR39" i="1"/>
  <c r="AQ39" i="1"/>
  <c r="AG39" i="1"/>
  <c r="AH39" i="1" s="1"/>
  <c r="Z39" i="1"/>
  <c r="Y39" i="1"/>
  <c r="AI39" i="1" s="1"/>
  <c r="N39" i="1"/>
  <c r="K39" i="1"/>
  <c r="M39" i="1" s="1"/>
  <c r="AX38" i="1"/>
  <c r="AW38" i="1"/>
  <c r="AV38" i="1"/>
  <c r="AU38" i="1"/>
  <c r="AT38" i="1"/>
  <c r="AS38" i="1"/>
  <c r="AP38" i="1"/>
  <c r="AO38" i="1"/>
  <c r="AN38" i="1"/>
  <c r="AM38" i="1"/>
  <c r="AL38" i="1"/>
  <c r="AK38" i="1"/>
  <c r="AF38" i="1"/>
  <c r="AG38" i="1" s="1"/>
  <c r="AE38" i="1"/>
  <c r="AD38" i="1"/>
  <c r="AC38" i="1"/>
  <c r="AB38" i="1"/>
  <c r="AA38" i="1"/>
  <c r="AA7" i="1" s="1"/>
  <c r="X38" i="1"/>
  <c r="X7" i="1" s="1"/>
  <c r="W38" i="1"/>
  <c r="V38" i="1"/>
  <c r="U38" i="1"/>
  <c r="T38" i="1"/>
  <c r="S38" i="1"/>
  <c r="AY37" i="1"/>
  <c r="AZ37" i="1" s="1"/>
  <c r="AQ37" i="1"/>
  <c r="AH37" i="1"/>
  <c r="AG37" i="1"/>
  <c r="BE37" i="1" s="1"/>
  <c r="Y37" i="1"/>
  <c r="Z37" i="1" s="1"/>
  <c r="N37" i="1"/>
  <c r="K37" i="1"/>
  <c r="AY36" i="1"/>
  <c r="AZ36" i="1" s="1"/>
  <c r="AR36" i="1"/>
  <c r="AQ36" i="1"/>
  <c r="BC36" i="1" s="1"/>
  <c r="AG36" i="1"/>
  <c r="AI36" i="1" s="1"/>
  <c r="Z36" i="1"/>
  <c r="Y36" i="1"/>
  <c r="N36" i="1"/>
  <c r="K36" i="1"/>
  <c r="AY35" i="1"/>
  <c r="AZ35" i="1" s="1"/>
  <c r="AQ35" i="1"/>
  <c r="BC35" i="1" s="1"/>
  <c r="AG35" i="1"/>
  <c r="AH35" i="1" s="1"/>
  <c r="Y35" i="1"/>
  <c r="N35" i="1"/>
  <c r="K35" i="1"/>
  <c r="AZ34" i="1"/>
  <c r="AY34" i="1"/>
  <c r="AQ34" i="1"/>
  <c r="BA34" i="1" s="1"/>
  <c r="AG34" i="1"/>
  <c r="BE34" i="1" s="1"/>
  <c r="Y34" i="1"/>
  <c r="N34" i="1"/>
  <c r="K34" i="1"/>
  <c r="AY33" i="1"/>
  <c r="AZ33" i="1" s="1"/>
  <c r="AQ33" i="1"/>
  <c r="AI33" i="1"/>
  <c r="AH33" i="1"/>
  <c r="AG33" i="1"/>
  <c r="Y33" i="1"/>
  <c r="Z33" i="1" s="1"/>
  <c r="N33" i="1"/>
  <c r="K33" i="1"/>
  <c r="AY32" i="1"/>
  <c r="AZ32" i="1" s="1"/>
  <c r="AQ32" i="1"/>
  <c r="AG32" i="1"/>
  <c r="AH32" i="1" s="1"/>
  <c r="Y32" i="1"/>
  <c r="Z32" i="1" s="1"/>
  <c r="AJ32" i="1" s="1"/>
  <c r="N32" i="1"/>
  <c r="K32" i="1"/>
  <c r="BE31" i="1"/>
  <c r="BD31" i="1"/>
  <c r="AY31" i="1"/>
  <c r="AZ31" i="1" s="1"/>
  <c r="AR31" i="1"/>
  <c r="AQ31" i="1"/>
  <c r="BA31" i="1" s="1"/>
  <c r="AG31" i="1"/>
  <c r="AH31" i="1" s="1"/>
  <c r="Z31" i="1"/>
  <c r="AJ31" i="1" s="1"/>
  <c r="Y31" i="1"/>
  <c r="AI31" i="1" s="1"/>
  <c r="N31" i="1"/>
  <c r="K31" i="1"/>
  <c r="AY30" i="1"/>
  <c r="AZ30" i="1" s="1"/>
  <c r="AQ30" i="1"/>
  <c r="BA30" i="1" s="1"/>
  <c r="AG30" i="1"/>
  <c r="Y30" i="1"/>
  <c r="Z30" i="1" s="1"/>
  <c r="N30" i="1"/>
  <c r="K30" i="1"/>
  <c r="M30" i="1" s="1"/>
  <c r="AY29" i="1"/>
  <c r="AR29" i="1"/>
  <c r="AQ29" i="1"/>
  <c r="AH29" i="1"/>
  <c r="AG29" i="1"/>
  <c r="Y29" i="1"/>
  <c r="AI29" i="1" s="1"/>
  <c r="N29" i="1"/>
  <c r="K29" i="1"/>
  <c r="M29" i="1" s="1"/>
  <c r="AZ28" i="1"/>
  <c r="AY28" i="1"/>
  <c r="AQ28" i="1"/>
  <c r="BA28" i="1" s="1"/>
  <c r="AG28" i="1"/>
  <c r="BE28" i="1" s="1"/>
  <c r="Y28" i="1"/>
  <c r="Z28" i="1" s="1"/>
  <c r="N28" i="1"/>
  <c r="M28" i="1"/>
  <c r="K28" i="1"/>
  <c r="AY27" i="1"/>
  <c r="AR27" i="1"/>
  <c r="AQ27" i="1"/>
  <c r="AH27" i="1"/>
  <c r="AG27" i="1"/>
  <c r="BE27" i="1" s="1"/>
  <c r="Y27" i="1"/>
  <c r="Z27" i="1" s="1"/>
  <c r="AJ27" i="1" s="1"/>
  <c r="N27" i="1"/>
  <c r="K27" i="1"/>
  <c r="M27" i="1" s="1"/>
  <c r="BA26" i="1"/>
  <c r="AY26" i="1"/>
  <c r="AZ26" i="1" s="1"/>
  <c r="AQ26" i="1"/>
  <c r="AR26" i="1" s="1"/>
  <c r="AG26" i="1"/>
  <c r="BE26" i="1" s="1"/>
  <c r="Y26" i="1"/>
  <c r="Z26" i="1" s="1"/>
  <c r="N26" i="1"/>
  <c r="M26" i="1"/>
  <c r="K26" i="1"/>
  <c r="AY25" i="1"/>
  <c r="AR25" i="1"/>
  <c r="AQ25" i="1"/>
  <c r="AH25" i="1"/>
  <c r="AG25" i="1"/>
  <c r="Z25" i="1"/>
  <c r="Y25" i="1"/>
  <c r="AI25" i="1" s="1"/>
  <c r="N25" i="1"/>
  <c r="K25" i="1"/>
  <c r="M25" i="1" s="1"/>
  <c r="BA24" i="1"/>
  <c r="AZ24" i="1"/>
  <c r="AY24" i="1"/>
  <c r="AQ24" i="1"/>
  <c r="AR24" i="1" s="1"/>
  <c r="AG24" i="1"/>
  <c r="BE24" i="1" s="1"/>
  <c r="Y24" i="1"/>
  <c r="Z24" i="1" s="1"/>
  <c r="N24" i="1"/>
  <c r="K24" i="1"/>
  <c r="M24" i="1" s="1"/>
  <c r="AY23" i="1"/>
  <c r="BA23" i="1" s="1"/>
  <c r="AQ23" i="1"/>
  <c r="BC23" i="1" s="1"/>
  <c r="AI23" i="1"/>
  <c r="AG23" i="1"/>
  <c r="AH23" i="1" s="1"/>
  <c r="Y23" i="1"/>
  <c r="Z23" i="1" s="1"/>
  <c r="N23" i="1"/>
  <c r="K23" i="1"/>
  <c r="M23" i="1" s="1"/>
  <c r="AY22" i="1"/>
  <c r="AZ22" i="1" s="1"/>
  <c r="AQ22" i="1"/>
  <c r="AR22" i="1" s="1"/>
  <c r="AG22" i="1"/>
  <c r="BE22" i="1" s="1"/>
  <c r="Y22" i="1"/>
  <c r="N22" i="1"/>
  <c r="K22" i="1"/>
  <c r="M22" i="1" s="1"/>
  <c r="AZ21" i="1"/>
  <c r="AY21" i="1"/>
  <c r="AQ21" i="1"/>
  <c r="BC21" i="1" s="1"/>
  <c r="AI21" i="1"/>
  <c r="AH21" i="1"/>
  <c r="AG21" i="1"/>
  <c r="BE21" i="1" s="1"/>
  <c r="Z21" i="1"/>
  <c r="AJ21" i="1" s="1"/>
  <c r="Y21" i="1"/>
  <c r="N21" i="1"/>
  <c r="K21" i="1"/>
  <c r="M21" i="1" s="1"/>
  <c r="AY20" i="1"/>
  <c r="AZ20" i="1" s="1"/>
  <c r="AQ20" i="1"/>
  <c r="AR20" i="1" s="1"/>
  <c r="AG20" i="1"/>
  <c r="Y20" i="1"/>
  <c r="N20" i="1"/>
  <c r="K20" i="1"/>
  <c r="M20" i="1" s="1"/>
  <c r="AY19" i="1"/>
  <c r="BA19" i="1" s="1"/>
  <c r="AR19" i="1"/>
  <c r="AQ19" i="1"/>
  <c r="AG19" i="1"/>
  <c r="AH19" i="1" s="1"/>
  <c r="Z19" i="1"/>
  <c r="Y19" i="1"/>
  <c r="AI19" i="1" s="1"/>
  <c r="N19" i="1"/>
  <c r="K19" i="1"/>
  <c r="M19" i="1" s="1"/>
  <c r="AZ18" i="1"/>
  <c r="AY18" i="1"/>
  <c r="BA18" i="1" s="1"/>
  <c r="AQ18" i="1"/>
  <c r="AR18" i="1" s="1"/>
  <c r="AG18" i="1"/>
  <c r="Y18" i="1"/>
  <c r="Z18" i="1" s="1"/>
  <c r="N18" i="1"/>
  <c r="K18" i="1"/>
  <c r="M18" i="1" s="1"/>
  <c r="AY17" i="1"/>
  <c r="AQ17" i="1"/>
  <c r="BC17" i="1" s="1"/>
  <c r="AG17" i="1"/>
  <c r="BE17" i="1" s="1"/>
  <c r="Y17" i="1"/>
  <c r="AI17" i="1" s="1"/>
  <c r="N17" i="1"/>
  <c r="K17" i="1"/>
  <c r="M17" i="1" s="1"/>
  <c r="AY16" i="1"/>
  <c r="AZ16" i="1" s="1"/>
  <c r="AQ16" i="1"/>
  <c r="AR16" i="1" s="1"/>
  <c r="AG16" i="1"/>
  <c r="Y16" i="1"/>
  <c r="Z16" i="1" s="1"/>
  <c r="N16" i="1"/>
  <c r="K16" i="1"/>
  <c r="M16" i="1" s="1"/>
  <c r="AY15" i="1"/>
  <c r="AQ15" i="1"/>
  <c r="BC15" i="1" s="1"/>
  <c r="AH15" i="1"/>
  <c r="AG15" i="1"/>
  <c r="AI15" i="1" s="1"/>
  <c r="Z15" i="1"/>
  <c r="Y15" i="1"/>
  <c r="N15" i="1"/>
  <c r="K15" i="1"/>
  <c r="M15" i="1" s="1"/>
  <c r="BA14" i="1"/>
  <c r="AY14" i="1"/>
  <c r="AZ14" i="1" s="1"/>
  <c r="AQ14" i="1"/>
  <c r="AR14" i="1" s="1"/>
  <c r="AG14" i="1"/>
  <c r="BE14" i="1" s="1"/>
  <c r="Y14" i="1"/>
  <c r="Z14" i="1" s="1"/>
  <c r="N14" i="1"/>
  <c r="K14" i="1"/>
  <c r="M14" i="1" s="1"/>
  <c r="AY13" i="1"/>
  <c r="BA13" i="1" s="1"/>
  <c r="AR13" i="1"/>
  <c r="AQ13" i="1"/>
  <c r="BC13" i="1" s="1"/>
  <c r="AG13" i="1"/>
  <c r="AH13" i="1" s="1"/>
  <c r="Z13" i="1"/>
  <c r="Y13" i="1"/>
  <c r="AI13" i="1" s="1"/>
  <c r="N13" i="1"/>
  <c r="K13" i="1"/>
  <c r="M13" i="1" s="1"/>
  <c r="AZ12" i="1"/>
  <c r="AY12" i="1"/>
  <c r="AQ12" i="1"/>
  <c r="AR12" i="1" s="1"/>
  <c r="AG12" i="1"/>
  <c r="BE12" i="1" s="1"/>
  <c r="Y12" i="1"/>
  <c r="N12" i="1"/>
  <c r="M12" i="1"/>
  <c r="K12" i="1"/>
  <c r="AY11" i="1"/>
  <c r="AQ11" i="1"/>
  <c r="BC11" i="1" s="1"/>
  <c r="AG11" i="1"/>
  <c r="AH11" i="1" s="1"/>
  <c r="Y11" i="1"/>
  <c r="AI11" i="1" s="1"/>
  <c r="N11" i="1"/>
  <c r="K11" i="1"/>
  <c r="M11" i="1" s="1"/>
  <c r="AZ10" i="1"/>
  <c r="AY10" i="1"/>
  <c r="AQ10" i="1"/>
  <c r="AR10" i="1" s="1"/>
  <c r="AG10" i="1"/>
  <c r="BE10" i="1" s="1"/>
  <c r="Z10" i="1"/>
  <c r="Y10" i="1"/>
  <c r="N10" i="1"/>
  <c r="M10" i="1"/>
  <c r="K10" i="1"/>
  <c r="AY9" i="1"/>
  <c r="AR9" i="1"/>
  <c r="AQ9" i="1"/>
  <c r="AH9" i="1"/>
  <c r="AG9" i="1"/>
  <c r="BE9" i="1" s="1"/>
  <c r="Y9" i="1"/>
  <c r="Z9" i="1" s="1"/>
  <c r="AJ9" i="1" s="1"/>
  <c r="N9" i="1"/>
  <c r="K9" i="1"/>
  <c r="M9" i="1" s="1"/>
  <c r="AX8" i="1"/>
  <c r="AX7" i="1" s="1"/>
  <c r="AW8" i="1"/>
  <c r="AV8" i="1"/>
  <c r="AU8" i="1"/>
  <c r="AT8" i="1"/>
  <c r="AT7" i="1" s="1"/>
  <c r="AS8" i="1"/>
  <c r="AP8" i="1"/>
  <c r="AO8" i="1"/>
  <c r="AN8" i="1"/>
  <c r="AM8" i="1"/>
  <c r="AL8" i="1"/>
  <c r="AL7" i="1" s="1"/>
  <c r="AK8" i="1"/>
  <c r="AF8" i="1"/>
  <c r="AE8" i="1"/>
  <c r="AE7" i="1" s="1"/>
  <c r="AD8" i="1"/>
  <c r="AC8" i="1"/>
  <c r="AB8" i="1"/>
  <c r="AA8" i="1"/>
  <c r="X8" i="1"/>
  <c r="W8" i="1"/>
  <c r="V8" i="1"/>
  <c r="V7" i="1" s="1"/>
  <c r="U8" i="1"/>
  <c r="T8" i="1"/>
  <c r="S8" i="1"/>
  <c r="S7" i="1" s="1"/>
  <c r="AS7" i="1"/>
  <c r="AP7" i="1"/>
  <c r="AO7" i="1"/>
  <c r="AN7" i="1"/>
  <c r="AD7" i="1"/>
  <c r="AC7" i="1"/>
  <c r="AB7" i="1"/>
  <c r="BB45" i="1" l="1"/>
  <c r="BG87" i="1"/>
  <c r="Q87" i="1" s="1"/>
  <c r="AJ48" i="1"/>
  <c r="AJ23" i="1"/>
  <c r="BA198" i="1"/>
  <c r="AR198" i="1"/>
  <c r="BB81" i="1"/>
  <c r="AR83" i="1"/>
  <c r="BB83" i="1" s="1"/>
  <c r="AI96" i="1"/>
  <c r="AI118" i="1"/>
  <c r="AH118" i="1"/>
  <c r="AJ118" i="1" s="1"/>
  <c r="BE156" i="1"/>
  <c r="AH156" i="1"/>
  <c r="BD168" i="1"/>
  <c r="BB168" i="1"/>
  <c r="BA170" i="1"/>
  <c r="Z176" i="1"/>
  <c r="AJ176" i="1" s="1"/>
  <c r="BC176" i="1"/>
  <c r="BE187" i="1"/>
  <c r="AH213" i="1"/>
  <c r="BE213" i="1"/>
  <c r="AR220" i="1"/>
  <c r="BB220" i="1" s="1"/>
  <c r="BF37" i="1"/>
  <c r="AR246" i="1"/>
  <c r="BB246" i="1" s="1"/>
  <c r="BA246" i="1"/>
  <c r="AI9" i="1"/>
  <c r="Z29" i="1"/>
  <c r="AJ29" i="1" s="1"/>
  <c r="BE42" i="1"/>
  <c r="AI44" i="1"/>
  <c r="Z53" i="1"/>
  <c r="BD53" i="1" s="1"/>
  <c r="BH53" i="1" s="1"/>
  <c r="AZ62" i="1"/>
  <c r="BB62" i="1" s="1"/>
  <c r="BC9" i="1"/>
  <c r="Z11" i="1"/>
  <c r="AJ11" i="1" s="1"/>
  <c r="BB14" i="1"/>
  <c r="BA17" i="1"/>
  <c r="BC27" i="1"/>
  <c r="AI32" i="1"/>
  <c r="BA37" i="1"/>
  <c r="AJ41" i="1"/>
  <c r="BC45" i="1"/>
  <c r="BB48" i="1"/>
  <c r="BF53" i="1"/>
  <c r="BA62" i="1"/>
  <c r="BF75" i="1"/>
  <c r="BA77" i="1"/>
  <c r="AR85" i="1"/>
  <c r="BB85" i="1" s="1"/>
  <c r="AH94" i="1"/>
  <c r="BF94" i="1" s="1"/>
  <c r="AR96" i="1"/>
  <c r="BB96" i="1" s="1"/>
  <c r="BA96" i="1"/>
  <c r="BA105" i="1"/>
  <c r="AR107" i="1"/>
  <c r="BB107" i="1" s="1"/>
  <c r="BA107" i="1"/>
  <c r="AI120" i="1"/>
  <c r="Z138" i="1"/>
  <c r="AI138" i="1"/>
  <c r="AH149" i="1"/>
  <c r="BF149" i="1" s="1"/>
  <c r="BE149" i="1"/>
  <c r="BA160" i="1"/>
  <c r="AR160" i="1"/>
  <c r="BD160" i="1" s="1"/>
  <c r="BD170" i="1"/>
  <c r="BG185" i="1"/>
  <c r="Z227" i="1"/>
  <c r="BC227" i="1"/>
  <c r="AJ251" i="1"/>
  <c r="BE257" i="1"/>
  <c r="AZ257" i="1"/>
  <c r="AR351" i="1"/>
  <c r="BB351" i="1" s="1"/>
  <c r="BA351" i="1"/>
  <c r="BC351" i="1"/>
  <c r="BE178" i="1"/>
  <c r="AI178" i="1"/>
  <c r="AR277" i="1"/>
  <c r="BB277" i="1" s="1"/>
  <c r="BA277" i="1"/>
  <c r="AI27" i="1"/>
  <c r="BE35" i="1"/>
  <c r="BG35" i="1" s="1"/>
  <c r="AI37" i="1"/>
  <c r="BC32" i="1"/>
  <c r="BC62" i="1"/>
  <c r="BC77" i="1"/>
  <c r="BE79" i="1"/>
  <c r="BG79" i="1" s="1"/>
  <c r="BE81" i="1"/>
  <c r="BG81" i="1" s="1"/>
  <c r="AI94" i="1"/>
  <c r="BA113" i="1"/>
  <c r="BC120" i="1"/>
  <c r="BA120" i="1"/>
  <c r="AI124" i="1"/>
  <c r="BC124" i="1"/>
  <c r="BC127" i="1"/>
  <c r="BG127" i="1" s="1"/>
  <c r="BG145" i="1"/>
  <c r="P145" i="1" s="1"/>
  <c r="AI174" i="1"/>
  <c r="AH174" i="1"/>
  <c r="BA204" i="1"/>
  <c r="AR204" i="1"/>
  <c r="BB204" i="1" s="1"/>
  <c r="BE251" i="1"/>
  <c r="AI251" i="1"/>
  <c r="AH251" i="1"/>
  <c r="BF251" i="1" s="1"/>
  <c r="AJ39" i="1"/>
  <c r="AH289" i="1"/>
  <c r="BF289" i="1" s="1"/>
  <c r="BE289" i="1"/>
  <c r="BC310" i="1"/>
  <c r="Z310" i="1"/>
  <c r="BD310" i="1" s="1"/>
  <c r="BH310" i="1" s="1"/>
  <c r="AM7" i="1"/>
  <c r="BA12" i="1"/>
  <c r="AR17" i="1"/>
  <c r="AQ38" i="1"/>
  <c r="AR38" i="1" s="1"/>
  <c r="BA22" i="1"/>
  <c r="BA9" i="1"/>
  <c r="BE16" i="1"/>
  <c r="BC19" i="1"/>
  <c r="BB24" i="1"/>
  <c r="BA27" i="1"/>
  <c r="BF31" i="1"/>
  <c r="AR32" i="1"/>
  <c r="BC39" i="1"/>
  <c r="BB41" i="1"/>
  <c r="BA44" i="1"/>
  <c r="AZ48" i="1"/>
  <c r="BF48" i="1" s="1"/>
  <c r="BE77" i="1"/>
  <c r="BC94" i="1"/>
  <c r="BG94" i="1" s="1"/>
  <c r="BC96" i="1"/>
  <c r="BG96" i="1" s="1"/>
  <c r="AH102" i="1"/>
  <c r="BF102" i="1" s="1"/>
  <c r="AR113" i="1"/>
  <c r="BB113" i="1" s="1"/>
  <c r="AR120" i="1"/>
  <c r="AR174" i="1"/>
  <c r="BD174" i="1" s="1"/>
  <c r="BC174" i="1"/>
  <c r="AG218" i="1"/>
  <c r="AR227" i="1"/>
  <c r="BB227" i="1" s="1"/>
  <c r="BA227" i="1"/>
  <c r="AR249" i="1"/>
  <c r="BD249" i="1" s="1"/>
  <c r="BH249" i="1" s="1"/>
  <c r="BA249" i="1"/>
  <c r="BE365" i="1"/>
  <c r="AH365" i="1"/>
  <c r="BF365" i="1" s="1"/>
  <c r="BB22" i="1"/>
  <c r="AH85" i="1"/>
  <c r="BF85" i="1" s="1"/>
  <c r="BE85" i="1"/>
  <c r="BG85" i="1" s="1"/>
  <c r="BC196" i="1"/>
  <c r="Z196" i="1"/>
  <c r="BD196" i="1" s="1"/>
  <c r="Z235" i="1"/>
  <c r="BD235" i="1" s="1"/>
  <c r="AI235" i="1"/>
  <c r="BC235" i="1"/>
  <c r="BA25" i="1"/>
  <c r="AJ13" i="1"/>
  <c r="BB16" i="1"/>
  <c r="BC29" i="1"/>
  <c r="BC44" i="1"/>
  <c r="BE50" i="1"/>
  <c r="BH61" i="1"/>
  <c r="BA92" i="1"/>
  <c r="AI102" i="1"/>
  <c r="AI104" i="1"/>
  <c r="AI122" i="1"/>
  <c r="AH122" i="1"/>
  <c r="BF122" i="1" s="1"/>
  <c r="AR147" i="1"/>
  <c r="BA147" i="1"/>
  <c r="BA181" i="1"/>
  <c r="AR181" i="1"/>
  <c r="Z186" i="1"/>
  <c r="BD186" i="1" s="1"/>
  <c r="BC186" i="1"/>
  <c r="AI225" i="1"/>
  <c r="BC270" i="1"/>
  <c r="BA270" i="1"/>
  <c r="AR270" i="1"/>
  <c r="BB270" i="1" s="1"/>
  <c r="AY278" i="1"/>
  <c r="AZ278" i="1" s="1"/>
  <c r="BC102" i="1"/>
  <c r="BA102" i="1"/>
  <c r="AZ190" i="1"/>
  <c r="BB190" i="1" s="1"/>
  <c r="BA190" i="1"/>
  <c r="AH221" i="1"/>
  <c r="BF221" i="1" s="1"/>
  <c r="BE221" i="1"/>
  <c r="AH87" i="1"/>
  <c r="BF87" i="1" s="1"/>
  <c r="BE87" i="1"/>
  <c r="BH44" i="1"/>
  <c r="AH65" i="1"/>
  <c r="BF65" i="1" s="1"/>
  <c r="BE65" i="1"/>
  <c r="AU7" i="1"/>
  <c r="BB31" i="1"/>
  <c r="AH36" i="1"/>
  <c r="BF36" i="1" s="1"/>
  <c r="BE44" i="1"/>
  <c r="Z46" i="1"/>
  <c r="AJ46" i="1" s="1"/>
  <c r="BE48" i="1"/>
  <c r="BG48" i="1" s="1"/>
  <c r="BD57" i="1"/>
  <c r="Z59" i="1"/>
  <c r="BD59" i="1" s="1"/>
  <c r="AR69" i="1"/>
  <c r="Z71" i="1"/>
  <c r="BD71" i="1" s="1"/>
  <c r="BC71" i="1"/>
  <c r="AR73" i="1"/>
  <c r="BB73" i="1" s="1"/>
  <c r="BE104" i="1"/>
  <c r="AH104" i="1"/>
  <c r="AJ104" i="1" s="1"/>
  <c r="BC119" i="1"/>
  <c r="AR124" i="1"/>
  <c r="BB124" i="1" s="1"/>
  <c r="AQ158" i="1"/>
  <c r="AR158" i="1" s="1"/>
  <c r="BB158" i="1" s="1"/>
  <c r="AI163" i="1"/>
  <c r="AH163" i="1"/>
  <c r="BF163" i="1" s="1"/>
  <c r="BE163" i="1"/>
  <c r="BG163" i="1" s="1"/>
  <c r="AI186" i="1"/>
  <c r="Y248" i="1"/>
  <c r="Z248" i="1" s="1"/>
  <c r="AZ285" i="1"/>
  <c r="BE285" i="1"/>
  <c r="BG285" i="1" s="1"/>
  <c r="BB50" i="1"/>
  <c r="AH61" i="1"/>
  <c r="BF61" i="1" s="1"/>
  <c r="BE61" i="1"/>
  <c r="AR11" i="1"/>
  <c r="BB26" i="1"/>
  <c r="AY8" i="1"/>
  <c r="BA11" i="1"/>
  <c r="BA16" i="1"/>
  <c r="BE18" i="1"/>
  <c r="AR21" i="1"/>
  <c r="AI35" i="1"/>
  <c r="BC41" i="1"/>
  <c r="BB52" i="1"/>
  <c r="BE57" i="1"/>
  <c r="AI59" i="1"/>
  <c r="AH76" i="1"/>
  <c r="BF76" i="1" s="1"/>
  <c r="BE76" i="1"/>
  <c r="AI95" i="1"/>
  <c r="BA100" i="1"/>
  <c r="BC104" i="1"/>
  <c r="BA104" i="1"/>
  <c r="AR104" i="1"/>
  <c r="BD104" i="1" s="1"/>
  <c r="BE108" i="1"/>
  <c r="BG108" i="1" s="1"/>
  <c r="AH110" i="1"/>
  <c r="BF110" i="1" s="1"/>
  <c r="BA159" i="1"/>
  <c r="AR159" i="1"/>
  <c r="BB159" i="1" s="1"/>
  <c r="BB165" i="1"/>
  <c r="AH173" i="1"/>
  <c r="BF173" i="1" s="1"/>
  <c r="BE173" i="1"/>
  <c r="Z177" i="1"/>
  <c r="BC177" i="1"/>
  <c r="AH197" i="1"/>
  <c r="AI197" i="1"/>
  <c r="AQ248" i="1"/>
  <c r="BE13" i="1"/>
  <c r="BC53" i="1"/>
  <c r="W7" i="1"/>
  <c r="AW7" i="1"/>
  <c r="AJ15" i="1"/>
  <c r="BB18" i="1"/>
  <c r="BA21" i="1"/>
  <c r="BC31" i="1"/>
  <c r="BG31" i="1" s="1"/>
  <c r="BE33" i="1"/>
  <c r="Z35" i="1"/>
  <c r="BD41" i="1"/>
  <c r="BA43" i="1"/>
  <c r="BA50" i="1"/>
  <c r="AH78" i="1"/>
  <c r="BF78" i="1" s="1"/>
  <c r="BE78" i="1"/>
  <c r="AG98" i="1"/>
  <c r="AH98" i="1" s="1"/>
  <c r="Z112" i="1"/>
  <c r="AI112" i="1"/>
  <c r="AH119" i="1"/>
  <c r="BF119" i="1" s="1"/>
  <c r="BE119" i="1"/>
  <c r="AR157" i="1"/>
  <c r="BB157" i="1" s="1"/>
  <c r="AR163" i="1"/>
  <c r="BB163" i="1" s="1"/>
  <c r="BA165" i="1"/>
  <c r="AZ165" i="1"/>
  <c r="BA169" i="1"/>
  <c r="AR169" i="1"/>
  <c r="BB169" i="1" s="1"/>
  <c r="BB171" i="1"/>
  <c r="AI173" i="1"/>
  <c r="BA186" i="1"/>
  <c r="AZ186" i="1"/>
  <c r="BB186" i="1" s="1"/>
  <c r="Z193" i="1"/>
  <c r="BC193" i="1"/>
  <c r="BC201" i="1"/>
  <c r="BA201" i="1"/>
  <c r="AR201" i="1"/>
  <c r="BF212" i="1"/>
  <c r="AI214" i="1"/>
  <c r="BE214" i="1"/>
  <c r="BG214" i="1" s="1"/>
  <c r="BE263" i="1"/>
  <c r="AZ263" i="1"/>
  <c r="BF263" i="1" s="1"/>
  <c r="AJ361" i="1"/>
  <c r="AJ19" i="1"/>
  <c r="BD51" i="1"/>
  <c r="BF33" i="1"/>
  <c r="AY38" i="1"/>
  <c r="BA38" i="1" s="1"/>
  <c r="BC54" i="1"/>
  <c r="BB97" i="1"/>
  <c r="AI99" i="1"/>
  <c r="BA119" i="1"/>
  <c r="AR119" i="1"/>
  <c r="BB119" i="1" s="1"/>
  <c r="BE161" i="1"/>
  <c r="BG161" i="1" s="1"/>
  <c r="BA161" i="1"/>
  <c r="AZ161" i="1"/>
  <c r="BB161" i="1" s="1"/>
  <c r="Z239" i="1"/>
  <c r="AJ239" i="1" s="1"/>
  <c r="AI239" i="1"/>
  <c r="BC239" i="1"/>
  <c r="BG239" i="1" s="1"/>
  <c r="O239" i="1" s="1"/>
  <c r="AH304" i="1"/>
  <c r="BF304" i="1" s="1"/>
  <c r="BH304" i="1" s="1"/>
  <c r="BE304" i="1"/>
  <c r="BB366" i="1"/>
  <c r="BB10" i="1"/>
  <c r="BE20" i="1"/>
  <c r="BB46" i="1"/>
  <c r="AI66" i="1"/>
  <c r="BC66" i="1"/>
  <c r="Y68" i="1"/>
  <c r="AZ106" i="1"/>
  <c r="BF112" i="1"/>
  <c r="AJ116" i="1"/>
  <c r="AI123" i="1"/>
  <c r="BC123" i="1"/>
  <c r="AI146" i="1"/>
  <c r="BE146" i="1"/>
  <c r="BG182" i="1"/>
  <c r="O182" i="1" s="1"/>
  <c r="AH228" i="1"/>
  <c r="AJ25" i="1"/>
  <c r="AZ13" i="1"/>
  <c r="BF13" i="1" s="1"/>
  <c r="Z17" i="1"/>
  <c r="AJ17" i="1" s="1"/>
  <c r="BB20" i="1"/>
  <c r="AR23" i="1"/>
  <c r="BE30" i="1"/>
  <c r="BA33" i="1"/>
  <c r="AR35" i="1"/>
  <c r="BB35" i="1" s="1"/>
  <c r="BE40" i="1"/>
  <c r="AI45" i="1"/>
  <c r="BE54" i="1"/>
  <c r="BE56" i="1"/>
  <c r="BG56" i="1" s="1"/>
  <c r="Z66" i="1"/>
  <c r="BG97" i="1"/>
  <c r="BA99" i="1"/>
  <c r="Z123" i="1"/>
  <c r="BD123" i="1" s="1"/>
  <c r="BH123" i="1" s="1"/>
  <c r="AH133" i="1"/>
  <c r="BF133" i="1" s="1"/>
  <c r="Z137" i="1"/>
  <c r="AI137" i="1"/>
  <c r="BC137" i="1"/>
  <c r="BE148" i="1"/>
  <c r="AI148" i="1"/>
  <c r="AH148" i="1"/>
  <c r="BF148" i="1" s="1"/>
  <c r="BA177" i="1"/>
  <c r="Z180" i="1"/>
  <c r="BD180" i="1" s="1"/>
  <c r="BH180" i="1" s="1"/>
  <c r="BC180" i="1"/>
  <c r="BF182" i="1"/>
  <c r="BH199" i="1"/>
  <c r="BE203" i="1"/>
  <c r="AZ203" i="1"/>
  <c r="BF203" i="1" s="1"/>
  <c r="BH203" i="1" s="1"/>
  <c r="Z222" i="1"/>
  <c r="AJ222" i="1" s="1"/>
  <c r="Z224" i="1"/>
  <c r="AJ224" i="1" s="1"/>
  <c r="AI224" i="1"/>
  <c r="BC246" i="1"/>
  <c r="BC64" i="1"/>
  <c r="BF66" i="1"/>
  <c r="BF123" i="1"/>
  <c r="AR182" i="1"/>
  <c r="BB182" i="1" s="1"/>
  <c r="BA182" i="1"/>
  <c r="AR208" i="1"/>
  <c r="BB208" i="1" s="1"/>
  <c r="BA208" i="1"/>
  <c r="Z237" i="1"/>
  <c r="AJ237" i="1" s="1"/>
  <c r="AI237" i="1"/>
  <c r="BG293" i="1"/>
  <c r="O293" i="1" s="1"/>
  <c r="BE302" i="1"/>
  <c r="AI302" i="1"/>
  <c r="AH302" i="1"/>
  <c r="BB12" i="1"/>
  <c r="AR15" i="1"/>
  <c r="AH17" i="1"/>
  <c r="BA46" i="1"/>
  <c r="BD49" i="1"/>
  <c r="Z64" i="1"/>
  <c r="AR66" i="1"/>
  <c r="BD66" i="1" s="1"/>
  <c r="BA66" i="1"/>
  <c r="BC83" i="1"/>
  <c r="AQ98" i="1"/>
  <c r="AR101" i="1"/>
  <c r="BB101" i="1" s="1"/>
  <c r="BA101" i="1"/>
  <c r="AH105" i="1"/>
  <c r="BF105" i="1" s="1"/>
  <c r="BE105" i="1"/>
  <c r="BA123" i="1"/>
  <c r="AR123" i="1"/>
  <c r="BB123" i="1" s="1"/>
  <c r="BA137" i="1"/>
  <c r="AR137" i="1"/>
  <c r="BB137" i="1" s="1"/>
  <c r="Z168" i="1"/>
  <c r="BC168" i="1"/>
  <c r="AI185" i="1"/>
  <c r="BC185" i="1"/>
  <c r="Z185" i="1"/>
  <c r="AJ185" i="1" s="1"/>
  <c r="BA189" i="1"/>
  <c r="AR189" i="1"/>
  <c r="BD189" i="1" s="1"/>
  <c r="BC220" i="1"/>
  <c r="Z220" i="1"/>
  <c r="BD220" i="1" s="1"/>
  <c r="AR222" i="1"/>
  <c r="BB222" i="1" s="1"/>
  <c r="BA222" i="1"/>
  <c r="AI277" i="1"/>
  <c r="Z277" i="1"/>
  <c r="AG8" i="1"/>
  <c r="BA10" i="1"/>
  <c r="BA35" i="1"/>
  <c r="BF42" i="1"/>
  <c r="BA15" i="1"/>
  <c r="BA20" i="1"/>
  <c r="BC25" i="1"/>
  <c r="BG25" i="1" s="1"/>
  <c r="BB42" i="1"/>
  <c r="AJ44" i="1"/>
  <c r="BA60" i="1"/>
  <c r="BE64" i="1"/>
  <c r="BE66" i="1"/>
  <c r="Z70" i="1"/>
  <c r="AJ70" i="1" s="1"/>
  <c r="BC70" i="1"/>
  <c r="BG70" i="1" s="1"/>
  <c r="O70" i="1" s="1"/>
  <c r="AH83" i="1"/>
  <c r="BF83" i="1" s="1"/>
  <c r="BE83" i="1"/>
  <c r="BB105" i="1"/>
  <c r="BG121" i="1"/>
  <c r="AI168" i="1"/>
  <c r="AH168" i="1"/>
  <c r="Z172" i="1"/>
  <c r="BC172" i="1"/>
  <c r="AI172" i="1"/>
  <c r="BA187" i="1"/>
  <c r="AH198" i="1"/>
  <c r="BF198" i="1" s="1"/>
  <c r="BC202" i="1"/>
  <c r="BG202" i="1" s="1"/>
  <c r="AI202" i="1"/>
  <c r="BC208" i="1"/>
  <c r="BG208" i="1" s="1"/>
  <c r="Q208" i="1" s="1"/>
  <c r="BG228" i="1"/>
  <c r="Q228" i="1" s="1"/>
  <c r="AI58" i="1"/>
  <c r="BA61" i="1"/>
  <c r="AI63" i="1"/>
  <c r="BB65" i="1"/>
  <c r="BB74" i="1"/>
  <c r="AI134" i="1"/>
  <c r="AI139" i="1"/>
  <c r="BF145" i="1"/>
  <c r="BC159" i="1"/>
  <c r="BG159" i="1" s="1"/>
  <c r="O159" i="1" s="1"/>
  <c r="BE169" i="1"/>
  <c r="AY188" i="1"/>
  <c r="AZ188" i="1" s="1"/>
  <c r="BG200" i="1"/>
  <c r="Q200" i="1" s="1"/>
  <c r="BF202" i="1"/>
  <c r="AI213" i="1"/>
  <c r="AI221" i="1"/>
  <c r="BE222" i="1"/>
  <c r="BG222" i="1" s="1"/>
  <c r="BE237" i="1"/>
  <c r="BF239" i="1"/>
  <c r="AI242" i="1"/>
  <c r="BE244" i="1"/>
  <c r="AY248" i="1"/>
  <c r="AZ248" i="1" s="1"/>
  <c r="BA283" i="1"/>
  <c r="AI319" i="1"/>
  <c r="BC328" i="1"/>
  <c r="BG328" i="1" s="1"/>
  <c r="AG338" i="1"/>
  <c r="BA340" i="1"/>
  <c r="BA342" i="1"/>
  <c r="BC357" i="1"/>
  <c r="BA361" i="1"/>
  <c r="O69" i="1"/>
  <c r="BF91" i="1"/>
  <c r="BB109" i="1"/>
  <c r="AZ115" i="1"/>
  <c r="BB115" i="1" s="1"/>
  <c r="BA156" i="1"/>
  <c r="BA168" i="1"/>
  <c r="BF171" i="1"/>
  <c r="AJ199" i="1"/>
  <c r="BE200" i="1"/>
  <c r="BE201" i="1"/>
  <c r="AQ218" i="1"/>
  <c r="BC218" i="1" s="1"/>
  <c r="BG218" i="1" s="1"/>
  <c r="BC221" i="1"/>
  <c r="AJ233" i="1"/>
  <c r="AZ237" i="1"/>
  <c r="BF237" i="1" s="1"/>
  <c r="AH244" i="1"/>
  <c r="BF244" i="1" s="1"/>
  <c r="BE249" i="1"/>
  <c r="BG249" i="1" s="1"/>
  <c r="BC257" i="1"/>
  <c r="BG257" i="1" s="1"/>
  <c r="BA293" i="1"/>
  <c r="BG295" i="1"/>
  <c r="O295" i="1" s="1"/>
  <c r="BE296" i="1"/>
  <c r="BA298" i="1"/>
  <c r="AR304" i="1"/>
  <c r="BA310" i="1"/>
  <c r="AH319" i="1"/>
  <c r="BA324" i="1"/>
  <c r="BC342" i="1"/>
  <c r="BG342" i="1" s="1"/>
  <c r="AI350" i="1"/>
  <c r="BE361" i="1"/>
  <c r="BC366" i="1"/>
  <c r="BG366" i="1" s="1"/>
  <c r="BE58" i="1"/>
  <c r="BG58" i="1" s="1"/>
  <c r="BC60" i="1"/>
  <c r="BG60" i="1" s="1"/>
  <c r="BF72" i="1"/>
  <c r="BA74" i="1"/>
  <c r="BB87" i="1"/>
  <c r="BA95" i="1"/>
  <c r="BF103" i="1"/>
  <c r="Z111" i="1"/>
  <c r="BC122" i="1"/>
  <c r="BE123" i="1"/>
  <c r="BC130" i="1"/>
  <c r="AR139" i="1"/>
  <c r="BB139" i="1" s="1"/>
  <c r="AR145" i="1"/>
  <c r="BB145" i="1" s="1"/>
  <c r="BC148" i="1"/>
  <c r="AR156" i="1"/>
  <c r="BF161" i="1"/>
  <c r="BA180" i="1"/>
  <c r="BE190" i="1"/>
  <c r="BC192" i="1"/>
  <c r="BG192" i="1" s="1"/>
  <c r="P192" i="1" s="1"/>
  <c r="AH200" i="1"/>
  <c r="BF200" i="1" s="1"/>
  <c r="AZ201" i="1"/>
  <c r="BF201" i="1" s="1"/>
  <c r="BC204" i="1"/>
  <c r="AI244" i="1"/>
  <c r="BC260" i="1"/>
  <c r="BF273" i="1"/>
  <c r="BF295" i="1"/>
  <c r="BA300" i="1"/>
  <c r="AQ308" i="1"/>
  <c r="AR308" i="1" s="1"/>
  <c r="BB308" i="1" s="1"/>
  <c r="AI326" i="1"/>
  <c r="BF328" i="1"/>
  <c r="BC346" i="1"/>
  <c r="AR348" i="1"/>
  <c r="BB348" i="1" s="1"/>
  <c r="AI362" i="1"/>
  <c r="BE363" i="1"/>
  <c r="Z366" i="1"/>
  <c r="AZ58" i="1"/>
  <c r="BB58" i="1" s="1"/>
  <c r="Z60" i="1"/>
  <c r="BA65" i="1"/>
  <c r="AI67" i="1"/>
  <c r="AQ68" i="1"/>
  <c r="BA72" i="1"/>
  <c r="BF89" i="1"/>
  <c r="AR95" i="1"/>
  <c r="BB95" i="1" s="1"/>
  <c r="BE100" i="1"/>
  <c r="BG100" i="1" s="1"/>
  <c r="BE106" i="1"/>
  <c r="BG106" i="1" s="1"/>
  <c r="BF117" i="1"/>
  <c r="BA121" i="1"/>
  <c r="BE122" i="1"/>
  <c r="AJ125" i="1"/>
  <c r="AY128" i="1"/>
  <c r="AZ128" i="1" s="1"/>
  <c r="BE137" i="1"/>
  <c r="BG137" i="1" s="1"/>
  <c r="Q137" i="1" s="1"/>
  <c r="BE143" i="1"/>
  <c r="AI161" i="1"/>
  <c r="BA175" i="1"/>
  <c r="BC182" i="1"/>
  <c r="BB183" i="1"/>
  <c r="AH190" i="1"/>
  <c r="Z192" i="1"/>
  <c r="BD192" i="1" s="1"/>
  <c r="BC195" i="1"/>
  <c r="AI200" i="1"/>
  <c r="BE204" i="1"/>
  <c r="AI208" i="1"/>
  <c r="BC209" i="1"/>
  <c r="BG209" i="1" s="1"/>
  <c r="BE217" i="1"/>
  <c r="BA234" i="1"/>
  <c r="AI247" i="1"/>
  <c r="Z260" i="1"/>
  <c r="BD260" i="1" s="1"/>
  <c r="BH260" i="1" s="1"/>
  <c r="BB266" i="1"/>
  <c r="BE268" i="1"/>
  <c r="BE277" i="1"/>
  <c r="AZ293" i="1"/>
  <c r="BF293" i="1" s="1"/>
  <c r="BA295" i="1"/>
  <c r="BE300" i="1"/>
  <c r="BB304" i="1"/>
  <c r="BF309" i="1"/>
  <c r="BE315" i="1"/>
  <c r="BA317" i="1"/>
  <c r="BC324" i="1"/>
  <c r="BD339" i="1"/>
  <c r="BB350" i="1"/>
  <c r="BD358" i="1"/>
  <c r="BH358" i="1" s="1"/>
  <c r="BE360" i="1"/>
  <c r="AJ362" i="1"/>
  <c r="BF366" i="1"/>
  <c r="BD55" i="1"/>
  <c r="BE60" i="1"/>
  <c r="BF106" i="1"/>
  <c r="BA109" i="1"/>
  <c r="AR121" i="1"/>
  <c r="BB121" i="1" s="1"/>
  <c r="AZ122" i="1"/>
  <c r="BB134" i="1"/>
  <c r="BA143" i="1"/>
  <c r="AR175" i="1"/>
  <c r="BB175" i="1" s="1"/>
  <c r="Z182" i="1"/>
  <c r="BE192" i="1"/>
  <c r="BC197" i="1"/>
  <c r="BG197" i="1" s="1"/>
  <c r="AI199" i="1"/>
  <c r="BA200" i="1"/>
  <c r="AJ203" i="1"/>
  <c r="AH204" i="1"/>
  <c r="BA213" i="1"/>
  <c r="Y218" i="1"/>
  <c r="AJ223" i="1"/>
  <c r="BC224" i="1"/>
  <c r="BE226" i="1"/>
  <c r="BE227" i="1"/>
  <c r="AR234" i="1"/>
  <c r="BB234" i="1" s="1"/>
  <c r="Z247" i="1"/>
  <c r="AI254" i="1"/>
  <c r="BA262" i="1"/>
  <c r="BA264" i="1"/>
  <c r="Y278" i="1"/>
  <c r="AI286" i="1"/>
  <c r="BC299" i="1"/>
  <c r="BG299" i="1" s="1"/>
  <c r="BA302" i="1"/>
  <c r="AI309" i="1"/>
  <c r="BC319" i="1"/>
  <c r="BG319" i="1" s="1"/>
  <c r="Q319" i="1" s="1"/>
  <c r="AI321" i="1"/>
  <c r="BE324" i="1"/>
  <c r="BB326" i="1"/>
  <c r="BB354" i="1"/>
  <c r="BF360" i="1"/>
  <c r="BE362" i="1"/>
  <c r="AI366" i="1"/>
  <c r="BF134" i="1"/>
  <c r="BF141" i="1"/>
  <c r="AG188" i="1"/>
  <c r="AH188" i="1" s="1"/>
  <c r="BE194" i="1"/>
  <c r="BB200" i="1"/>
  <c r="BG213" i="1"/>
  <c r="O213" i="1" s="1"/>
  <c r="BB224" i="1"/>
  <c r="AI256" i="1"/>
  <c r="BB260" i="1"/>
  <c r="BG297" i="1"/>
  <c r="BB309" i="1"/>
  <c r="BB341" i="1"/>
  <c r="BB352" i="1"/>
  <c r="BB356" i="1"/>
  <c r="BD243" i="1"/>
  <c r="BE245" i="1"/>
  <c r="BG251" i="1"/>
  <c r="Q251" i="1" s="1"/>
  <c r="BG284" i="1"/>
  <c r="O284" i="1" s="1"/>
  <c r="BG290" i="1"/>
  <c r="O290" i="1" s="1"/>
  <c r="BF297" i="1"/>
  <c r="Y308" i="1"/>
  <c r="BC350" i="1"/>
  <c r="AI113" i="1"/>
  <c r="BG125" i="1"/>
  <c r="BE155" i="1"/>
  <c r="BA179" i="1"/>
  <c r="AI182" i="1"/>
  <c r="AI194" i="1"/>
  <c r="AR223" i="1"/>
  <c r="BD223" i="1" s="1"/>
  <c r="BE224" i="1"/>
  <c r="AR229" i="1"/>
  <c r="BD229" i="1" s="1"/>
  <c r="AZ233" i="1"/>
  <c r="BB233" i="1" s="1"/>
  <c r="BE234" i="1"/>
  <c r="BG234" i="1" s="1"/>
  <c r="BF240" i="1"/>
  <c r="BA241" i="1"/>
  <c r="AH245" i="1"/>
  <c r="BF245" i="1" s="1"/>
  <c r="BE247" i="1"/>
  <c r="AI250" i="1"/>
  <c r="AI280" i="1"/>
  <c r="AR284" i="1"/>
  <c r="BB284" i="1" s="1"/>
  <c r="AR290" i="1"/>
  <c r="BB290" i="1" s="1"/>
  <c r="AI292" i="1"/>
  <c r="O296" i="1"/>
  <c r="BA297" i="1"/>
  <c r="BB299" i="1"/>
  <c r="BF301" i="1"/>
  <c r="BC303" i="1"/>
  <c r="BG303" i="1" s="1"/>
  <c r="Q303" i="1" s="1"/>
  <c r="Z318" i="1"/>
  <c r="BA339" i="1"/>
  <c r="BA341" i="1"/>
  <c r="BB343" i="1"/>
  <c r="BD349" i="1"/>
  <c r="BA352" i="1"/>
  <c r="BA356" i="1"/>
  <c r="AR362" i="1"/>
  <c r="BE129" i="1"/>
  <c r="BF169" i="1"/>
  <c r="BB177" i="1"/>
  <c r="BF187" i="1"/>
  <c r="BA194" i="1"/>
  <c r="BC198" i="1"/>
  <c r="BG198" i="1" s="1"/>
  <c r="BF199" i="1"/>
  <c r="BF204" i="1"/>
  <c r="BB212" i="1"/>
  <c r="BE223" i="1"/>
  <c r="AI228" i="1"/>
  <c r="BA240" i="1"/>
  <c r="BB241" i="1"/>
  <c r="AI243" i="1"/>
  <c r="BB245" i="1"/>
  <c r="AZ247" i="1"/>
  <c r="AJ249" i="1"/>
  <c r="AH253" i="1"/>
  <c r="BE267" i="1"/>
  <c r="BF269" i="1"/>
  <c r="BE271" i="1"/>
  <c r="BC280" i="1"/>
  <c r="AI282" i="1"/>
  <c r="BE286" i="1"/>
  <c r="BG286" i="1" s="1"/>
  <c r="BE288" i="1"/>
  <c r="BG288" i="1" s="1"/>
  <c r="BC292" i="1"/>
  <c r="BG292" i="1" s="1"/>
  <c r="Q292" i="1" s="1"/>
  <c r="AI301" i="1"/>
  <c r="AY308" i="1"/>
  <c r="AZ308" i="1" s="1"/>
  <c r="BC309" i="1"/>
  <c r="BG309" i="1" s="1"/>
  <c r="BC316" i="1"/>
  <c r="BF318" i="1"/>
  <c r="BE329" i="1"/>
  <c r="BC339" i="1"/>
  <c r="BC345" i="1"/>
  <c r="BB269" i="1"/>
  <c r="BB280" i="1"/>
  <c r="BB301" i="1"/>
  <c r="BF325" i="1"/>
  <c r="BF329" i="1"/>
  <c r="BH361" i="1"/>
  <c r="BG247" i="1"/>
  <c r="BG294" i="1"/>
  <c r="O294" i="1" s="1"/>
  <c r="BB325" i="1"/>
  <c r="BF327" i="1"/>
  <c r="BA347" i="1"/>
  <c r="BD351" i="1"/>
  <c r="AI365" i="1"/>
  <c r="BF124" i="1"/>
  <c r="BF131" i="1"/>
  <c r="BC146" i="1"/>
  <c r="AI191" i="1"/>
  <c r="AI198" i="1"/>
  <c r="AJ201" i="1"/>
  <c r="AI205" i="1"/>
  <c r="BC240" i="1"/>
  <c r="BG240" i="1" s="1"/>
  <c r="P240" i="1" s="1"/>
  <c r="BA253" i="1"/>
  <c r="AH261" i="1"/>
  <c r="BB263" i="1"/>
  <c r="BA280" i="1"/>
  <c r="BE282" i="1"/>
  <c r="BG282" i="1" s="1"/>
  <c r="BG287" i="1"/>
  <c r="BG289" i="1"/>
  <c r="AR294" i="1"/>
  <c r="BB294" i="1" s="1"/>
  <c r="BC301" i="1"/>
  <c r="BB327" i="1"/>
  <c r="Y338" i="1"/>
  <c r="AI338" i="1" s="1"/>
  <c r="BC347" i="1"/>
  <c r="BG347" i="1" s="1"/>
  <c r="BA349" i="1"/>
  <c r="Z365" i="1"/>
  <c r="BB61" i="1"/>
  <c r="AG68" i="1"/>
  <c r="AI101" i="1"/>
  <c r="BE126" i="1"/>
  <c r="BA135" i="1"/>
  <c r="BF137" i="1"/>
  <c r="AI140" i="1"/>
  <c r="AI193" i="1"/>
  <c r="BF207" i="1"/>
  <c r="BB214" i="1"/>
  <c r="BF228" i="1"/>
  <c r="BE230" i="1"/>
  <c r="BA232" i="1"/>
  <c r="BE246" i="1"/>
  <c r="BF249" i="1"/>
  <c r="AI252" i="1"/>
  <c r="AI257" i="1"/>
  <c r="BA259" i="1"/>
  <c r="BA261" i="1"/>
  <c r="BA265" i="1"/>
  <c r="BE280" i="1"/>
  <c r="AI285" i="1"/>
  <c r="BC291" i="1"/>
  <c r="BG291" i="1" s="1"/>
  <c r="BC296" i="1"/>
  <c r="BG296" i="1" s="1"/>
  <c r="BC312" i="1"/>
  <c r="BA314" i="1"/>
  <c r="BF324" i="1"/>
  <c r="BA325" i="1"/>
  <c r="AI346" i="1"/>
  <c r="AI357" i="1"/>
  <c r="BB361" i="1"/>
  <c r="BA56" i="1"/>
  <c r="AY68" i="1"/>
  <c r="AZ68" i="1" s="1"/>
  <c r="AI74" i="1"/>
  <c r="BE101" i="1"/>
  <c r="BF107" i="1"/>
  <c r="AH126" i="1"/>
  <c r="BF126" i="1" s="1"/>
  <c r="AI132" i="1"/>
  <c r="BB135" i="1"/>
  <c r="BC140" i="1"/>
  <c r="BA146" i="1"/>
  <c r="BC189" i="1"/>
  <c r="AI201" i="1"/>
  <c r="BD203" i="1"/>
  <c r="BA207" i="1"/>
  <c r="AJ213" i="1"/>
  <c r="BG244" i="1"/>
  <c r="P244" i="1" s="1"/>
  <c r="BB259" i="1"/>
  <c r="BC283" i="1"/>
  <c r="BA285" i="1"/>
  <c r="BF291" i="1"/>
  <c r="BE294" i="1"/>
  <c r="AR296" i="1"/>
  <c r="BD296" i="1" s="1"/>
  <c r="BH296" i="1" s="1"/>
  <c r="BD304" i="1"/>
  <c r="BE310" i="1"/>
  <c r="AR314" i="1"/>
  <c r="BB314" i="1" s="1"/>
  <c r="BE320" i="1"/>
  <c r="BC325" i="1"/>
  <c r="BG325" i="1" s="1"/>
  <c r="BC353" i="1"/>
  <c r="BB357" i="1"/>
  <c r="BD14" i="1"/>
  <c r="BD26" i="1"/>
  <c r="BH26" i="1" s="1"/>
  <c r="AJ26" i="1"/>
  <c r="BD40" i="1"/>
  <c r="BD16" i="1"/>
  <c r="BD114" i="1"/>
  <c r="BH114" i="1" s="1"/>
  <c r="BB114" i="1"/>
  <c r="BD18" i="1"/>
  <c r="AJ18" i="1"/>
  <c r="Q79" i="1"/>
  <c r="P79" i="1"/>
  <c r="O79" i="1"/>
  <c r="AH56" i="1"/>
  <c r="AJ66" i="1"/>
  <c r="AK7" i="1"/>
  <c r="AQ8" i="1"/>
  <c r="BC12" i="1"/>
  <c r="BG12" i="1" s="1"/>
  <c r="AI12" i="1"/>
  <c r="BC65" i="1"/>
  <c r="BG65" i="1" s="1"/>
  <c r="AI65" i="1"/>
  <c r="BC26" i="1"/>
  <c r="BG26" i="1" s="1"/>
  <c r="AI26" i="1"/>
  <c r="AH50" i="1"/>
  <c r="BG13" i="1"/>
  <c r="AZ23" i="1"/>
  <c r="BB23" i="1" s="1"/>
  <c r="BD27" i="1"/>
  <c r="BD52" i="1"/>
  <c r="BH52" i="1" s="1"/>
  <c r="AJ52" i="1"/>
  <c r="Z65" i="1"/>
  <c r="BC30" i="1"/>
  <c r="BG30" i="1" s="1"/>
  <c r="AI30" i="1"/>
  <c r="BD13" i="1"/>
  <c r="BE52" i="1"/>
  <c r="BG52" i="1" s="1"/>
  <c r="AH52" i="1"/>
  <c r="BF52" i="1" s="1"/>
  <c r="AI52" i="1"/>
  <c r="AH8" i="1"/>
  <c r="BE8" i="1"/>
  <c r="AZ15" i="1"/>
  <c r="BD19" i="1"/>
  <c r="BC22" i="1"/>
  <c r="BG22" i="1" s="1"/>
  <c r="AI22" i="1"/>
  <c r="BG32" i="1"/>
  <c r="Q81" i="1"/>
  <c r="P81" i="1"/>
  <c r="O81" i="1"/>
  <c r="T7" i="1"/>
  <c r="BG17" i="1"/>
  <c r="BF21" i="1"/>
  <c r="AZ27" i="1"/>
  <c r="BB27" i="1" s="1"/>
  <c r="AH38" i="1"/>
  <c r="BE38" i="1"/>
  <c r="BF39" i="1"/>
  <c r="BD96" i="1"/>
  <c r="BH96" i="1" s="1"/>
  <c r="AJ96" i="1"/>
  <c r="BG9" i="1"/>
  <c r="U7" i="1"/>
  <c r="BC20" i="1"/>
  <c r="BG20" i="1" s="1"/>
  <c r="AI20" i="1"/>
  <c r="BE25" i="1"/>
  <c r="AJ37" i="1"/>
  <c r="BD48" i="1"/>
  <c r="AH49" i="1"/>
  <c r="BE49" i="1"/>
  <c r="BE36" i="1"/>
  <c r="BA36" i="1"/>
  <c r="BC34" i="1"/>
  <c r="BG34" i="1" s="1"/>
  <c r="AI34" i="1"/>
  <c r="BG23" i="1"/>
  <c r="Z34" i="1"/>
  <c r="AI56" i="1"/>
  <c r="AI68" i="1"/>
  <c r="BC68" i="1"/>
  <c r="Z68" i="1"/>
  <c r="BG27" i="1"/>
  <c r="BD17" i="1"/>
  <c r="BH31" i="1"/>
  <c r="BE11" i="1"/>
  <c r="BG11" i="1" s="1"/>
  <c r="Z20" i="1"/>
  <c r="BG21" i="1"/>
  <c r="Q46" i="1"/>
  <c r="P46" i="1"/>
  <c r="O46" i="1"/>
  <c r="AI49" i="1"/>
  <c r="Z22" i="1"/>
  <c r="BF27" i="1"/>
  <c r="BD32" i="1"/>
  <c r="BB32" i="1"/>
  <c r="AR47" i="1"/>
  <c r="BC47" i="1"/>
  <c r="BA47" i="1"/>
  <c r="BA32" i="1"/>
  <c r="BE32" i="1"/>
  <c r="BD9" i="1"/>
  <c r="Z12" i="1"/>
  <c r="BC16" i="1"/>
  <c r="AI16" i="1"/>
  <c r="AZ17" i="1"/>
  <c r="BF17" i="1" s="1"/>
  <c r="BD21" i="1"/>
  <c r="BH21" i="1" s="1"/>
  <c r="BB21" i="1"/>
  <c r="BC24" i="1"/>
  <c r="BG24" i="1" s="1"/>
  <c r="AI24" i="1"/>
  <c r="BD39" i="1"/>
  <c r="BB39" i="1"/>
  <c r="BF57" i="1"/>
  <c r="BH57" i="1" s="1"/>
  <c r="AZ19" i="1"/>
  <c r="BF19" i="1" s="1"/>
  <c r="AZ9" i="1"/>
  <c r="BF9" i="1" s="1"/>
  <c r="BC10" i="1"/>
  <c r="BG10" i="1" s="1"/>
  <c r="AI10" i="1"/>
  <c r="BE15" i="1"/>
  <c r="BG15" i="1" s="1"/>
  <c r="BD24" i="1"/>
  <c r="AJ24" i="1"/>
  <c r="AJ33" i="1"/>
  <c r="BA39" i="1"/>
  <c r="BE39" i="1"/>
  <c r="BG39" i="1" s="1"/>
  <c r="AR68" i="1"/>
  <c r="BH66" i="1"/>
  <c r="BD23" i="1"/>
  <c r="AI50" i="1"/>
  <c r="BD10" i="1"/>
  <c r="BH10" i="1" s="1"/>
  <c r="BF15" i="1"/>
  <c r="BD25" i="1"/>
  <c r="BC28" i="1"/>
  <c r="BG28" i="1" s="1"/>
  <c r="AI28" i="1"/>
  <c r="Y38" i="1"/>
  <c r="BD62" i="1"/>
  <c r="BA67" i="1"/>
  <c r="Z141" i="1"/>
  <c r="BC141" i="1"/>
  <c r="BG141" i="1" s="1"/>
  <c r="AI141" i="1"/>
  <c r="BE19" i="1"/>
  <c r="BG19" i="1" s="1"/>
  <c r="BB29" i="1"/>
  <c r="BD54" i="1"/>
  <c r="BH54" i="1" s="1"/>
  <c r="BD11" i="1"/>
  <c r="BD28" i="1"/>
  <c r="BH28" i="1" s="1"/>
  <c r="AJ28" i="1"/>
  <c r="BF35" i="1"/>
  <c r="AH51" i="1"/>
  <c r="BE51" i="1"/>
  <c r="AI51" i="1"/>
  <c r="BC40" i="1"/>
  <c r="BG40" i="1" s="1"/>
  <c r="AI40" i="1"/>
  <c r="BC14" i="1"/>
  <c r="BG14" i="1" s="1"/>
  <c r="AI14" i="1"/>
  <c r="AZ25" i="1"/>
  <c r="BB25" i="1" s="1"/>
  <c r="BA29" i="1"/>
  <c r="BE29" i="1"/>
  <c r="BG29" i="1" s="1"/>
  <c r="BG36" i="1"/>
  <c r="BC118" i="1"/>
  <c r="BA118" i="1"/>
  <c r="AZ8" i="1"/>
  <c r="AZ11" i="1"/>
  <c r="BF11" i="1" s="1"/>
  <c r="BD15" i="1"/>
  <c r="BH15" i="1" s="1"/>
  <c r="BB15" i="1"/>
  <c r="BC18" i="1"/>
  <c r="BG18" i="1" s="1"/>
  <c r="AI18" i="1"/>
  <c r="BE23" i="1"/>
  <c r="AZ29" i="1"/>
  <c r="BF29" i="1" s="1"/>
  <c r="BF32" i="1"/>
  <c r="BD36" i="1"/>
  <c r="BB36" i="1"/>
  <c r="AR118" i="1"/>
  <c r="AH10" i="1"/>
  <c r="BF10" i="1" s="1"/>
  <c r="AH24" i="1"/>
  <c r="BF24" i="1" s="1"/>
  <c r="AH26" i="1"/>
  <c r="BF26" i="1" s="1"/>
  <c r="AH28" i="1"/>
  <c r="BF28" i="1" s="1"/>
  <c r="AH30" i="1"/>
  <c r="BF30" i="1" s="1"/>
  <c r="AR33" i="1"/>
  <c r="BB33" i="1" s="1"/>
  <c r="AH34" i="1"/>
  <c r="BF34" i="1" s="1"/>
  <c r="AR37" i="1"/>
  <c r="BB37" i="1" s="1"/>
  <c r="AH40" i="1"/>
  <c r="BF40" i="1" s="1"/>
  <c r="BD46" i="1"/>
  <c r="BH46" i="1" s="1"/>
  <c r="AH54" i="1"/>
  <c r="BF54" i="1" s="1"/>
  <c r="AH60" i="1"/>
  <c r="BF60" i="1" s="1"/>
  <c r="AZ130" i="1"/>
  <c r="BB130" i="1" s="1"/>
  <c r="BE130" i="1"/>
  <c r="BG130" i="1" s="1"/>
  <c r="BA130" i="1"/>
  <c r="O145" i="1"/>
  <c r="Q145" i="1"/>
  <c r="Z188" i="1"/>
  <c r="BC114" i="1"/>
  <c r="BA114" i="1"/>
  <c r="O139" i="1"/>
  <c r="Q139" i="1"/>
  <c r="P139" i="1"/>
  <c r="Q257" i="1"/>
  <c r="O257" i="1"/>
  <c r="P257" i="1"/>
  <c r="AH14" i="1"/>
  <c r="BF14" i="1" s="1"/>
  <c r="AI54" i="1"/>
  <c r="AI60" i="1"/>
  <c r="BG62" i="1"/>
  <c r="BF70" i="1"/>
  <c r="AJ72" i="1"/>
  <c r="AH74" i="1"/>
  <c r="BF74" i="1" s="1"/>
  <c r="AI91" i="1"/>
  <c r="Z91" i="1"/>
  <c r="BC91" i="1"/>
  <c r="BG91" i="1" s="1"/>
  <c r="AR138" i="1"/>
  <c r="BB138" i="1" s="1"/>
  <c r="BC138" i="1"/>
  <c r="BC225" i="1"/>
  <c r="BA225" i="1"/>
  <c r="AR225" i="1"/>
  <c r="BB225" i="1" s="1"/>
  <c r="BA49" i="1"/>
  <c r="AJ53" i="1"/>
  <c r="AZ138" i="1"/>
  <c r="BF138" i="1" s="1"/>
  <c r="BE138" i="1"/>
  <c r="BE152" i="1"/>
  <c r="AI152" i="1"/>
  <c r="BC164" i="1"/>
  <c r="BA164" i="1"/>
  <c r="Q70" i="1"/>
  <c r="P70" i="1"/>
  <c r="AH16" i="1"/>
  <c r="BF16" i="1" s="1"/>
  <c r="AH20" i="1"/>
  <c r="BF20" i="1" s="1"/>
  <c r="BF41" i="1"/>
  <c r="BH41" i="1" s="1"/>
  <c r="Z42" i="1"/>
  <c r="BB49" i="1"/>
  <c r="AH64" i="1"/>
  <c r="BF64" i="1" s="1"/>
  <c r="BB66" i="1"/>
  <c r="AR72" i="1"/>
  <c r="BB72" i="1" s="1"/>
  <c r="AI93" i="1"/>
  <c r="Z93" i="1"/>
  <c r="BC93" i="1"/>
  <c r="AR98" i="1"/>
  <c r="AI107" i="1"/>
  <c r="BC107" i="1"/>
  <c r="AZ132" i="1"/>
  <c r="BE132" i="1"/>
  <c r="BG132" i="1" s="1"/>
  <c r="BA138" i="1"/>
  <c r="AH152" i="1"/>
  <c r="BF152" i="1" s="1"/>
  <c r="AR164" i="1"/>
  <c r="Z74" i="1"/>
  <c r="BC74" i="1"/>
  <c r="BG74" i="1" s="1"/>
  <c r="AH12" i="1"/>
  <c r="BF12" i="1" s="1"/>
  <c r="AH22" i="1"/>
  <c r="BF22" i="1" s="1"/>
  <c r="AF7" i="1"/>
  <c r="AV7" i="1"/>
  <c r="AR28" i="1"/>
  <c r="BB28" i="1" s="1"/>
  <c r="AR30" i="1"/>
  <c r="BB30" i="1" s="1"/>
  <c r="AR34" i="1"/>
  <c r="BB34" i="1" s="1"/>
  <c r="AI41" i="1"/>
  <c r="BC49" i="1"/>
  <c r="BG49" i="1" s="1"/>
  <c r="BG50" i="1"/>
  <c r="BA51" i="1"/>
  <c r="BB55" i="1"/>
  <c r="AI64" i="1"/>
  <c r="BG66" i="1"/>
  <c r="Z107" i="1"/>
  <c r="BG117" i="1"/>
  <c r="O121" i="1"/>
  <c r="Q121" i="1"/>
  <c r="P121" i="1"/>
  <c r="BA132" i="1"/>
  <c r="AI144" i="1"/>
  <c r="AH144" i="1"/>
  <c r="BF144" i="1" s="1"/>
  <c r="BE144" i="1"/>
  <c r="BD172" i="1"/>
  <c r="AZ172" i="1"/>
  <c r="BB172" i="1" s="1"/>
  <c r="BA172" i="1"/>
  <c r="AH18" i="1"/>
  <c r="BF18" i="1" s="1"/>
  <c r="Y8" i="1"/>
  <c r="BC33" i="1"/>
  <c r="BG33" i="1" s="1"/>
  <c r="BC37" i="1"/>
  <c r="BG37" i="1" s="1"/>
  <c r="BA40" i="1"/>
  <c r="BB51" i="1"/>
  <c r="BC63" i="1"/>
  <c r="BF71" i="1"/>
  <c r="BC116" i="1"/>
  <c r="BA116" i="1"/>
  <c r="Z129" i="1"/>
  <c r="BC129" i="1"/>
  <c r="BG129" i="1" s="1"/>
  <c r="AI129" i="1"/>
  <c r="BG144" i="1"/>
  <c r="BG45" i="1"/>
  <c r="BG168" i="1"/>
  <c r="BE243" i="1"/>
  <c r="AZ243" i="1"/>
  <c r="BB243" i="1" s="1"/>
  <c r="AH43" i="1"/>
  <c r="BE43" i="1"/>
  <c r="BG43" i="1" s="1"/>
  <c r="BC51" i="1"/>
  <c r="BA53" i="1"/>
  <c r="BA59" i="1"/>
  <c r="AI109" i="1"/>
  <c r="BC109" i="1"/>
  <c r="AR116" i="1"/>
  <c r="BD120" i="1"/>
  <c r="BH120" i="1" s="1"/>
  <c r="BB120" i="1"/>
  <c r="O147" i="1"/>
  <c r="Q147" i="1"/>
  <c r="P147" i="1"/>
  <c r="AI43" i="1"/>
  <c r="AH45" i="1"/>
  <c r="BE45" i="1"/>
  <c r="BC57" i="1"/>
  <c r="AI57" i="1"/>
  <c r="BB59" i="1"/>
  <c r="Q69" i="1"/>
  <c r="P69" i="1"/>
  <c r="BD73" i="1"/>
  <c r="Z109" i="1"/>
  <c r="AH129" i="1"/>
  <c r="BF129" i="1" s="1"/>
  <c r="BC142" i="1"/>
  <c r="BG142" i="1" s="1"/>
  <c r="BA142" i="1"/>
  <c r="AR142" i="1"/>
  <c r="BB142" i="1" s="1"/>
  <c r="BC67" i="1"/>
  <c r="AH73" i="1"/>
  <c r="BF73" i="1" s="1"/>
  <c r="BE73" i="1"/>
  <c r="Z90" i="1"/>
  <c r="BC90" i="1"/>
  <c r="BG90" i="1" s="1"/>
  <c r="AI90" i="1"/>
  <c r="AH109" i="1"/>
  <c r="BF109" i="1" s="1"/>
  <c r="BE109" i="1"/>
  <c r="AI128" i="1"/>
  <c r="AR149" i="1"/>
  <c r="BB149" i="1" s="1"/>
  <c r="BC149" i="1"/>
  <c r="BG149" i="1" s="1"/>
  <c r="BA149" i="1"/>
  <c r="AI157" i="1"/>
  <c r="Z157" i="1"/>
  <c r="BC157" i="1"/>
  <c r="BC112" i="1"/>
  <c r="BG112" i="1" s="1"/>
  <c r="BA112" i="1"/>
  <c r="AR112" i="1"/>
  <c r="AH128" i="1"/>
  <c r="AH157" i="1"/>
  <c r="BF157" i="1" s="1"/>
  <c r="BE157" i="1"/>
  <c r="BD209" i="1"/>
  <c r="BA63" i="1"/>
  <c r="BD67" i="1"/>
  <c r="BA71" i="1"/>
  <c r="AI73" i="1"/>
  <c r="BA42" i="1"/>
  <c r="BB44" i="1"/>
  <c r="AH47" i="1"/>
  <c r="BE47" i="1"/>
  <c r="BB57" i="1"/>
  <c r="BC61" i="1"/>
  <c r="BG61" i="1" s="1"/>
  <c r="AI61" i="1"/>
  <c r="AR63" i="1"/>
  <c r="BB63" i="1" s="1"/>
  <c r="Z92" i="1"/>
  <c r="BC92" i="1"/>
  <c r="BG92" i="1" s="1"/>
  <c r="AI92" i="1"/>
  <c r="AJ94" i="1"/>
  <c r="BA131" i="1"/>
  <c r="AR131" i="1"/>
  <c r="BB131" i="1" s="1"/>
  <c r="BG134" i="1"/>
  <c r="BG41" i="1"/>
  <c r="BC42" i="1"/>
  <c r="AJ61" i="1"/>
  <c r="Z75" i="1"/>
  <c r="BC75" i="1"/>
  <c r="AI75" i="1"/>
  <c r="BE92" i="1"/>
  <c r="AH92" i="1"/>
  <c r="BF92" i="1" s="1"/>
  <c r="AH111" i="1"/>
  <c r="BF111" i="1" s="1"/>
  <c r="BE111" i="1"/>
  <c r="BG111" i="1" s="1"/>
  <c r="O137" i="1"/>
  <c r="BA155" i="1"/>
  <c r="AR155" i="1"/>
  <c r="BB155" i="1" s="1"/>
  <c r="BE197" i="1"/>
  <c r="BA197" i="1"/>
  <c r="AZ197" i="1"/>
  <c r="BB197" i="1" s="1"/>
  <c r="BH71" i="1"/>
  <c r="BD76" i="1"/>
  <c r="BH76" i="1" s="1"/>
  <c r="Z88" i="1"/>
  <c r="BC88" i="1"/>
  <c r="BG88" i="1" s="1"/>
  <c r="AI89" i="1"/>
  <c r="Z89" i="1"/>
  <c r="BF108" i="1"/>
  <c r="BG110" i="1"/>
  <c r="BA126" i="1"/>
  <c r="AR126" i="1"/>
  <c r="BB126" i="1" s="1"/>
  <c r="Z136" i="1"/>
  <c r="AI136" i="1"/>
  <c r="BE209" i="1"/>
  <c r="AZ209" i="1"/>
  <c r="BF209" i="1" s="1"/>
  <c r="BA209" i="1"/>
  <c r="AJ246" i="1"/>
  <c r="BE53" i="1"/>
  <c r="BG53" i="1" s="1"/>
  <c r="BE55" i="1"/>
  <c r="BG55" i="1" s="1"/>
  <c r="BE71" i="1"/>
  <c r="BG71" i="1" s="1"/>
  <c r="BC72" i="1"/>
  <c r="Z86" i="1"/>
  <c r="BC86" i="1"/>
  <c r="AI87" i="1"/>
  <c r="Z87" i="1"/>
  <c r="AH90" i="1"/>
  <c r="BF90" i="1" s="1"/>
  <c r="AR94" i="1"/>
  <c r="BB94" i="1" s="1"/>
  <c r="Z99" i="1"/>
  <c r="AJ100" i="1"/>
  <c r="Z101" i="1"/>
  <c r="AJ102" i="1"/>
  <c r="Z103" i="1"/>
  <c r="Z105" i="1"/>
  <c r="AR110" i="1"/>
  <c r="BC115" i="1"/>
  <c r="BG115" i="1" s="1"/>
  <c r="BE117" i="1"/>
  <c r="BE136" i="1"/>
  <c r="AH136" i="1"/>
  <c r="BF136" i="1" s="1"/>
  <c r="Z151" i="1"/>
  <c r="BC151" i="1"/>
  <c r="BC152" i="1"/>
  <c r="BA152" i="1"/>
  <c r="AR166" i="1"/>
  <c r="AJ170" i="1"/>
  <c r="BF170" i="1"/>
  <c r="BH170" i="1" s="1"/>
  <c r="Z187" i="1"/>
  <c r="BC187" i="1"/>
  <c r="AI187" i="1"/>
  <c r="BC237" i="1"/>
  <c r="BG237" i="1" s="1"/>
  <c r="BA237" i="1"/>
  <c r="BB251" i="1"/>
  <c r="AR54" i="1"/>
  <c r="BB54" i="1" s="1"/>
  <c r="AR56" i="1"/>
  <c r="BB56" i="1" s="1"/>
  <c r="AR60" i="1"/>
  <c r="BB60" i="1" s="1"/>
  <c r="AR64" i="1"/>
  <c r="BE72" i="1"/>
  <c r="Z84" i="1"/>
  <c r="BC84" i="1"/>
  <c r="BG84" i="1" s="1"/>
  <c r="AI85" i="1"/>
  <c r="Z85" i="1"/>
  <c r="BE86" i="1"/>
  <c r="BC113" i="1"/>
  <c r="BG113" i="1" s="1"/>
  <c r="Z128" i="1"/>
  <c r="BC128" i="1"/>
  <c r="BA129" i="1"/>
  <c r="AR129" i="1"/>
  <c r="BB129" i="1" s="1"/>
  <c r="Z135" i="1"/>
  <c r="AR141" i="1"/>
  <c r="BB141" i="1" s="1"/>
  <c r="Z143" i="1"/>
  <c r="BC143" i="1"/>
  <c r="BG143" i="1" s="1"/>
  <c r="AR148" i="1"/>
  <c r="BB148" i="1" s="1"/>
  <c r="AH151" i="1"/>
  <c r="BF151" i="1" s="1"/>
  <c r="BE151" i="1"/>
  <c r="AR152" i="1"/>
  <c r="BB152" i="1" s="1"/>
  <c r="AJ154" i="1"/>
  <c r="Z156" i="1"/>
  <c r="BC156" i="1"/>
  <c r="AZ176" i="1"/>
  <c r="BF176" i="1" s="1"/>
  <c r="BA176" i="1"/>
  <c r="BE235" i="1"/>
  <c r="AZ235" i="1"/>
  <c r="AR237" i="1"/>
  <c r="BB237" i="1" s="1"/>
  <c r="O244" i="1"/>
  <c r="Q244" i="1"/>
  <c r="AJ69" i="1"/>
  <c r="BC73" i="1"/>
  <c r="AR75" i="1"/>
  <c r="BB75" i="1" s="1"/>
  <c r="AI76" i="1"/>
  <c r="AI77" i="1"/>
  <c r="Z77" i="1"/>
  <c r="Z78" i="1"/>
  <c r="BC78" i="1"/>
  <c r="BG78" i="1" s="1"/>
  <c r="Z82" i="1"/>
  <c r="BC82" i="1"/>
  <c r="AI83" i="1"/>
  <c r="Z83" i="1"/>
  <c r="BE84" i="1"/>
  <c r="AH86" i="1"/>
  <c r="BF86" i="1" s="1"/>
  <c r="AI88" i="1"/>
  <c r="BA93" i="1"/>
  <c r="AH99" i="1"/>
  <c r="BF99" i="1" s="1"/>
  <c r="BF100" i="1"/>
  <c r="AH101" i="1"/>
  <c r="BF101" i="1" s="1"/>
  <c r="BF104" i="1"/>
  <c r="BH104" i="1" s="1"/>
  <c r="AR108" i="1"/>
  <c r="BE113" i="1"/>
  <c r="BD140" i="1"/>
  <c r="AI151" i="1"/>
  <c r="BE154" i="1"/>
  <c r="BG154" i="1" s="1"/>
  <c r="AI154" i="1"/>
  <c r="BE162" i="1"/>
  <c r="AI162" i="1"/>
  <c r="AH162" i="1"/>
  <c r="BA166" i="1"/>
  <c r="AJ178" i="1"/>
  <c r="BD178" i="1"/>
  <c r="BB194" i="1"/>
  <c r="AH69" i="1"/>
  <c r="BF69" i="1" s="1"/>
  <c r="AJ76" i="1"/>
  <c r="AI79" i="1"/>
  <c r="Z79" i="1"/>
  <c r="Z80" i="1"/>
  <c r="BC80" i="1"/>
  <c r="BG80" i="1" s="1"/>
  <c r="AI81" i="1"/>
  <c r="Z81" i="1"/>
  <c r="BE82" i="1"/>
  <c r="AH84" i="1"/>
  <c r="BF84" i="1" s="1"/>
  <c r="AI86" i="1"/>
  <c r="BA91" i="1"/>
  <c r="BA94" i="1"/>
  <c r="BA110" i="1"/>
  <c r="AH140" i="1"/>
  <c r="BF140" i="1" s="1"/>
  <c r="BE140" i="1"/>
  <c r="AH143" i="1"/>
  <c r="BF143" i="1" s="1"/>
  <c r="BB147" i="1"/>
  <c r="BA148" i="1"/>
  <c r="BF156" i="1"/>
  <c r="Y158" i="1"/>
  <c r="BG162" i="1"/>
  <c r="AH165" i="1"/>
  <c r="BF165" i="1" s="1"/>
  <c r="BE165" i="1"/>
  <c r="BE176" i="1"/>
  <c r="BG176" i="1" s="1"/>
  <c r="AJ184" i="1"/>
  <c r="BF184" i="1"/>
  <c r="BH184" i="1" s="1"/>
  <c r="AZ217" i="1"/>
  <c r="BB217" i="1" s="1"/>
  <c r="AH218" i="1"/>
  <c r="BF218" i="1" s="1"/>
  <c r="BE218" i="1"/>
  <c r="BG235" i="1"/>
  <c r="BE59" i="1"/>
  <c r="BG59" i="1" s="1"/>
  <c r="BE63" i="1"/>
  <c r="BE67" i="1"/>
  <c r="BE80" i="1"/>
  <c r="AH82" i="1"/>
  <c r="BF82" i="1" s="1"/>
  <c r="AI84" i="1"/>
  <c r="BA88" i="1"/>
  <c r="BA89" i="1"/>
  <c r="AR90" i="1"/>
  <c r="BB90" i="1" s="1"/>
  <c r="AI97" i="1"/>
  <c r="Z97" i="1"/>
  <c r="BG102" i="1"/>
  <c r="BG104" i="1"/>
  <c r="AR106" i="1"/>
  <c r="AI121" i="1"/>
  <c r="AR125" i="1"/>
  <c r="AI135" i="1"/>
  <c r="AI143" i="1"/>
  <c r="AI156" i="1"/>
  <c r="AR162" i="1"/>
  <c r="AH178" i="1"/>
  <c r="BF178" i="1" s="1"/>
  <c r="BD193" i="1"/>
  <c r="BA217" i="1"/>
  <c r="AH55" i="1"/>
  <c r="AH58" i="1"/>
  <c r="AH62" i="1"/>
  <c r="AI78" i="1"/>
  <c r="AH80" i="1"/>
  <c r="BF80" i="1" s="1"/>
  <c r="AI82" i="1"/>
  <c r="BA86" i="1"/>
  <c r="BA87" i="1"/>
  <c r="AR88" i="1"/>
  <c r="BB88" i="1" s="1"/>
  <c r="AR100" i="1"/>
  <c r="BB100" i="1" s="1"/>
  <c r="AR102" i="1"/>
  <c r="BB102" i="1" s="1"/>
  <c r="BA108" i="1"/>
  <c r="AI119" i="1"/>
  <c r="Z121" i="1"/>
  <c r="AI127" i="1"/>
  <c r="Z133" i="1"/>
  <c r="BC133" i="1"/>
  <c r="BG133" i="1" s="1"/>
  <c r="BC136" i="1"/>
  <c r="BG136" i="1" s="1"/>
  <c r="BG140" i="1"/>
  <c r="BB191" i="1"/>
  <c r="P202" i="1"/>
  <c r="O202" i="1"/>
  <c r="Q202" i="1"/>
  <c r="BC215" i="1"/>
  <c r="BA215" i="1"/>
  <c r="AR215" i="1"/>
  <c r="BB215" i="1" s="1"/>
  <c r="AI70" i="1"/>
  <c r="AJ71" i="1"/>
  <c r="AI80" i="1"/>
  <c r="BA84" i="1"/>
  <c r="BB86" i="1"/>
  <c r="BC89" i="1"/>
  <c r="BG89" i="1" s="1"/>
  <c r="BE93" i="1"/>
  <c r="Z98" i="1"/>
  <c r="BC98" i="1"/>
  <c r="AI98" i="1"/>
  <c r="AY98" i="1"/>
  <c r="BA98" i="1" s="1"/>
  <c r="BE107" i="1"/>
  <c r="AI117" i="1"/>
  <c r="BD119" i="1"/>
  <c r="BH119" i="1" s="1"/>
  <c r="AJ119" i="1"/>
  <c r="AJ120" i="1"/>
  <c r="AZ125" i="1"/>
  <c r="BF125" i="1" s="1"/>
  <c r="Z127" i="1"/>
  <c r="AR128" i="1"/>
  <c r="BF139" i="1"/>
  <c r="BB140" i="1"/>
  <c r="BG146" i="1"/>
  <c r="AI150" i="1"/>
  <c r="BE150" i="1"/>
  <c r="BG150" i="1" s="1"/>
  <c r="Z153" i="1"/>
  <c r="BC153" i="1"/>
  <c r="BG153" i="1" s="1"/>
  <c r="BB156" i="1"/>
  <c r="BA162" i="1"/>
  <c r="BB170" i="1"/>
  <c r="BA184" i="1"/>
  <c r="BA191" i="1"/>
  <c r="AZ191" i="1"/>
  <c r="BB198" i="1"/>
  <c r="BD72" i="1"/>
  <c r="BC103" i="1"/>
  <c r="BG103" i="1" s="1"/>
  <c r="BC105" i="1"/>
  <c r="BG105" i="1" s="1"/>
  <c r="BD117" i="1"/>
  <c r="BH117" i="1" s="1"/>
  <c r="AJ117" i="1"/>
  <c r="BE120" i="1"/>
  <c r="BG120" i="1" s="1"/>
  <c r="BD142" i="1"/>
  <c r="Z145" i="1"/>
  <c r="AI145" i="1"/>
  <c r="BG170" i="1"/>
  <c r="BA69" i="1"/>
  <c r="AI71" i="1"/>
  <c r="BE75" i="1"/>
  <c r="BC76" i="1"/>
  <c r="BG76" i="1" s="1"/>
  <c r="AR78" i="1"/>
  <c r="BB78" i="1" s="1"/>
  <c r="BA79" i="1"/>
  <c r="BA81" i="1"/>
  <c r="AR82" i="1"/>
  <c r="BB82" i="1" s="1"/>
  <c r="Z95" i="1"/>
  <c r="BC95" i="1"/>
  <c r="BG95" i="1" s="1"/>
  <c r="BC99" i="1"/>
  <c r="BG99" i="1" s="1"/>
  <c r="BC101" i="1"/>
  <c r="BG101" i="1" s="1"/>
  <c r="Z115" i="1"/>
  <c r="BE118" i="1"/>
  <c r="BF120" i="1"/>
  <c r="Z131" i="1"/>
  <c r="BC131" i="1"/>
  <c r="BG131" i="1" s="1"/>
  <c r="BA140" i="1"/>
  <c r="AH153" i="1"/>
  <c r="BF153" i="1" s="1"/>
  <c r="AG158" i="1"/>
  <c r="BA174" i="1"/>
  <c r="BC190" i="1"/>
  <c r="BG190" i="1" s="1"/>
  <c r="AI190" i="1"/>
  <c r="AH59" i="1"/>
  <c r="BF59" i="1" s="1"/>
  <c r="BH59" i="1" s="1"/>
  <c r="AH63" i="1"/>
  <c r="AH67" i="1"/>
  <c r="AR80" i="1"/>
  <c r="BB80" i="1" s="1"/>
  <c r="BE95" i="1"/>
  <c r="BA97" i="1"/>
  <c r="BB104" i="1"/>
  <c r="AI111" i="1"/>
  <c r="Z113" i="1"/>
  <c r="AJ114" i="1"/>
  <c r="BE116" i="1"/>
  <c r="BF118" i="1"/>
  <c r="AR122" i="1"/>
  <c r="BG124" i="1"/>
  <c r="BA134" i="1"/>
  <c r="AH142" i="1"/>
  <c r="BF142" i="1" s="1"/>
  <c r="AR150" i="1"/>
  <c r="BB150" i="1" s="1"/>
  <c r="AI153" i="1"/>
  <c r="Z155" i="1"/>
  <c r="BC155" i="1"/>
  <c r="BG155" i="1" s="1"/>
  <c r="AJ160" i="1"/>
  <c r="BF160" i="1"/>
  <c r="Z190" i="1"/>
  <c r="AI72" i="1"/>
  <c r="AJ73" i="1"/>
  <c r="BD111" i="1"/>
  <c r="BH111" i="1" s="1"/>
  <c r="AJ112" i="1"/>
  <c r="BE114" i="1"/>
  <c r="BF116" i="1"/>
  <c r="Z126" i="1"/>
  <c r="BC126" i="1"/>
  <c r="BG126" i="1" s="1"/>
  <c r="BA133" i="1"/>
  <c r="AR133" i="1"/>
  <c r="BB133" i="1" s="1"/>
  <c r="AI142" i="1"/>
  <c r="BA153" i="1"/>
  <c r="AR153" i="1"/>
  <c r="BB153" i="1" s="1"/>
  <c r="AJ172" i="1"/>
  <c r="BG174" i="1"/>
  <c r="AJ186" i="1"/>
  <c r="BE196" i="1"/>
  <c r="AI196" i="1"/>
  <c r="AH196" i="1"/>
  <c r="Z218" i="1"/>
  <c r="AI218" i="1"/>
  <c r="O228" i="1"/>
  <c r="BA242" i="1"/>
  <c r="BC242" i="1"/>
  <c r="BG242" i="1" s="1"/>
  <c r="BA248" i="1"/>
  <c r="AR248" i="1"/>
  <c r="BB248" i="1" s="1"/>
  <c r="AR143" i="1"/>
  <c r="BB143" i="1" s="1"/>
  <c r="BD146" i="1"/>
  <c r="Z181" i="1"/>
  <c r="AI181" i="1"/>
  <c r="BE188" i="1"/>
  <c r="P200" i="1"/>
  <c r="O200" i="1"/>
  <c r="BC226" i="1"/>
  <c r="BG226" i="1" s="1"/>
  <c r="AI226" i="1"/>
  <c r="AR242" i="1"/>
  <c r="BB242" i="1" s="1"/>
  <c r="Z124" i="1"/>
  <c r="Z130" i="1"/>
  <c r="Z132" i="1"/>
  <c r="Z134" i="1"/>
  <c r="BD147" i="1"/>
  <c r="BH147" i="1" s="1"/>
  <c r="AJ147" i="1"/>
  <c r="AR154" i="1"/>
  <c r="BB154" i="1" s="1"/>
  <c r="AH177" i="1"/>
  <c r="BF177" i="1" s="1"/>
  <c r="BE177" i="1"/>
  <c r="BG177" i="1" s="1"/>
  <c r="AI177" i="1"/>
  <c r="BA178" i="1"/>
  <c r="BC216" i="1"/>
  <c r="BA216" i="1"/>
  <c r="AJ226" i="1"/>
  <c r="BE236" i="1"/>
  <c r="AI236" i="1"/>
  <c r="AH236" i="1"/>
  <c r="BD137" i="1"/>
  <c r="BH137" i="1" s="1"/>
  <c r="AJ137" i="1"/>
  <c r="AR144" i="1"/>
  <c r="BB144" i="1" s="1"/>
  <c r="AH146" i="1"/>
  <c r="BF146" i="1" s="1"/>
  <c r="BD176" i="1"/>
  <c r="BA183" i="1"/>
  <c r="AZ193" i="1"/>
  <c r="BB193" i="1" s="1"/>
  <c r="AJ195" i="1"/>
  <c r="BD195" i="1"/>
  <c r="AR216" i="1"/>
  <c r="BE232" i="1"/>
  <c r="AH232" i="1"/>
  <c r="BF232" i="1" s="1"/>
  <c r="Q233" i="1"/>
  <c r="P233" i="1"/>
  <c r="O233" i="1"/>
  <c r="AR127" i="1"/>
  <c r="BB127" i="1" s="1"/>
  <c r="AJ148" i="1"/>
  <c r="BA154" i="1"/>
  <c r="BD159" i="1"/>
  <c r="BH159" i="1" s="1"/>
  <c r="AJ159" i="1"/>
  <c r="Z175" i="1"/>
  <c r="BC175" i="1"/>
  <c r="BG175" i="1" s="1"/>
  <c r="BB181" i="1"/>
  <c r="BB189" i="1"/>
  <c r="BA224" i="1"/>
  <c r="AR271" i="1"/>
  <c r="BA271" i="1"/>
  <c r="BE135" i="1"/>
  <c r="BG135" i="1" s="1"/>
  <c r="AJ138" i="1"/>
  <c r="BD138" i="1"/>
  <c r="BA144" i="1"/>
  <c r="AI147" i="1"/>
  <c r="BD161" i="1"/>
  <c r="AJ161" i="1"/>
  <c r="Z169" i="1"/>
  <c r="BC169" i="1"/>
  <c r="BG169" i="1" s="1"/>
  <c r="Z171" i="1"/>
  <c r="BC171" i="1"/>
  <c r="BG171" i="1" s="1"/>
  <c r="Z173" i="1"/>
  <c r="BC173" i="1"/>
  <c r="BE180" i="1"/>
  <c r="AI180" i="1"/>
  <c r="AH192" i="1"/>
  <c r="BA214" i="1"/>
  <c r="BD139" i="1"/>
  <c r="BH139" i="1" s="1"/>
  <c r="AJ139" i="1"/>
  <c r="AJ163" i="1"/>
  <c r="Z167" i="1"/>
  <c r="BC167" i="1"/>
  <c r="BG167" i="1" s="1"/>
  <c r="BE174" i="1"/>
  <c r="Z179" i="1"/>
  <c r="AI179" i="1"/>
  <c r="BC179" i="1"/>
  <c r="P198" i="1"/>
  <c r="O198" i="1"/>
  <c r="Q198" i="1"/>
  <c r="O208" i="1"/>
  <c r="P208" i="1"/>
  <c r="BF223" i="1"/>
  <c r="BB223" i="1"/>
  <c r="BD252" i="1"/>
  <c r="BH252" i="1" s="1"/>
  <c r="AJ150" i="1"/>
  <c r="AI159" i="1"/>
  <c r="BE160" i="1"/>
  <c r="BG160" i="1" s="1"/>
  <c r="Z165" i="1"/>
  <c r="BC165" i="1"/>
  <c r="BG165" i="1" s="1"/>
  <c r="BE170" i="1"/>
  <c r="BE172" i="1"/>
  <c r="BG172" i="1" s="1"/>
  <c r="AJ174" i="1"/>
  <c r="BF174" i="1"/>
  <c r="BH174" i="1" s="1"/>
  <c r="AH179" i="1"/>
  <c r="BF179" i="1" s="1"/>
  <c r="BE179" i="1"/>
  <c r="BE205" i="1"/>
  <c r="BA205" i="1"/>
  <c r="AZ205" i="1"/>
  <c r="BC194" i="1"/>
  <c r="Z194" i="1"/>
  <c r="BC207" i="1"/>
  <c r="BG207" i="1" s="1"/>
  <c r="AI207" i="1"/>
  <c r="BF210" i="1"/>
  <c r="AJ210" i="1"/>
  <c r="BF213" i="1"/>
  <c r="BH213" i="1" s="1"/>
  <c r="BB213" i="1"/>
  <c r="BC219" i="1"/>
  <c r="BA219" i="1"/>
  <c r="BE164" i="1"/>
  <c r="AI166" i="1"/>
  <c r="BE166" i="1"/>
  <c r="BG166" i="1" s="1"/>
  <c r="AJ168" i="1"/>
  <c r="BF168" i="1"/>
  <c r="BA195" i="1"/>
  <c r="BG205" i="1"/>
  <c r="Z207" i="1"/>
  <c r="BC210" i="1"/>
  <c r="BA210" i="1"/>
  <c r="BC212" i="1"/>
  <c r="BG212" i="1" s="1"/>
  <c r="AI212" i="1"/>
  <c r="Z212" i="1"/>
  <c r="AR219" i="1"/>
  <c r="BB219" i="1" s="1"/>
  <c r="BE229" i="1"/>
  <c r="BG229" i="1" s="1"/>
  <c r="AZ229" i="1"/>
  <c r="AJ231" i="1"/>
  <c r="BA235" i="1"/>
  <c r="BD251" i="1"/>
  <c r="BH251" i="1" s="1"/>
  <c r="BA257" i="1"/>
  <c r="AR257" i="1"/>
  <c r="BB257" i="1" s="1"/>
  <c r="AY158" i="1"/>
  <c r="AZ158" i="1" s="1"/>
  <c r="AH164" i="1"/>
  <c r="AI165" i="1"/>
  <c r="AH166" i="1"/>
  <c r="AR179" i="1"/>
  <c r="BB179" i="1" s="1"/>
  <c r="BE184" i="1"/>
  <c r="BD191" i="1"/>
  <c r="AR210" i="1"/>
  <c r="BB210" i="1" s="1"/>
  <c r="BA229" i="1"/>
  <c r="BC252" i="1"/>
  <c r="BG252" i="1" s="1"/>
  <c r="BA252" i="1"/>
  <c r="BD177" i="1"/>
  <c r="BC178" i="1"/>
  <c r="AH181" i="1"/>
  <c r="BF181" i="1" s="1"/>
  <c r="BE181" i="1"/>
  <c r="BG181" i="1" s="1"/>
  <c r="AH186" i="1"/>
  <c r="BF186" i="1" s="1"/>
  <c r="BH186" i="1" s="1"/>
  <c r="BE186" i="1"/>
  <c r="BG220" i="1"/>
  <c r="BF250" i="1"/>
  <c r="AJ250" i="1"/>
  <c r="BE168" i="1"/>
  <c r="Z211" i="1"/>
  <c r="BC211" i="1"/>
  <c r="Q213" i="1"/>
  <c r="P213" i="1"/>
  <c r="BG223" i="1"/>
  <c r="BG241" i="1"/>
  <c r="Z245" i="1"/>
  <c r="BC245" i="1"/>
  <c r="BG245" i="1" s="1"/>
  <c r="BG246" i="1"/>
  <c r="AH206" i="1"/>
  <c r="AH211" i="1"/>
  <c r="BF211" i="1" s="1"/>
  <c r="BE211" i="1"/>
  <c r="BG221" i="1"/>
  <c r="BH223" i="1"/>
  <c r="BC231" i="1"/>
  <c r="BG231" i="1" s="1"/>
  <c r="BA231" i="1"/>
  <c r="AR231" i="1"/>
  <c r="BD231" i="1" s="1"/>
  <c r="BH241" i="1"/>
  <c r="BA250" i="1"/>
  <c r="BC250" i="1"/>
  <c r="AI183" i="1"/>
  <c r="Z183" i="1"/>
  <c r="BC183" i="1"/>
  <c r="BG183" i="1" s="1"/>
  <c r="BC184" i="1"/>
  <c r="AI184" i="1"/>
  <c r="AR187" i="1"/>
  <c r="BB187" i="1" s="1"/>
  <c r="Z198" i="1"/>
  <c r="Z200" i="1"/>
  <c r="Z202" i="1"/>
  <c r="Z204" i="1"/>
  <c r="AI206" i="1"/>
  <c r="BE207" i="1"/>
  <c r="AI211" i="1"/>
  <c r="AH220" i="1"/>
  <c r="BF220" i="1" s="1"/>
  <c r="BH220" i="1" s="1"/>
  <c r="BG227" i="1"/>
  <c r="BA236" i="1"/>
  <c r="BC236" i="1"/>
  <c r="BG236" i="1" s="1"/>
  <c r="AR250" i="1"/>
  <c r="BF253" i="1"/>
  <c r="BH253" i="1" s="1"/>
  <c r="AH183" i="1"/>
  <c r="BF183" i="1" s="1"/>
  <c r="BE183" i="1"/>
  <c r="BA185" i="1"/>
  <c r="AR185" i="1"/>
  <c r="BB185" i="1" s="1"/>
  <c r="AJ197" i="1"/>
  <c r="BA211" i="1"/>
  <c r="AR211" i="1"/>
  <c r="BB211" i="1" s="1"/>
  <c r="AH215" i="1"/>
  <c r="BF215" i="1" s="1"/>
  <c r="BE215" i="1"/>
  <c r="AI220" i="1"/>
  <c r="AH225" i="1"/>
  <c r="BF225" i="1" s="1"/>
  <c r="BE225" i="1"/>
  <c r="AH230" i="1"/>
  <c r="AR236" i="1"/>
  <c r="BB236" i="1" s="1"/>
  <c r="O240" i="1"/>
  <c r="BC243" i="1"/>
  <c r="BA243" i="1"/>
  <c r="AI245" i="1"/>
  <c r="AG248" i="1"/>
  <c r="BC206" i="1"/>
  <c r="BG206" i="1" s="1"/>
  <c r="BA206" i="1"/>
  <c r="BE210" i="1"/>
  <c r="BD224" i="1"/>
  <c r="BH224" i="1" s="1"/>
  <c r="BC238" i="1"/>
  <c r="BG238" i="1" s="1"/>
  <c r="AI238" i="1"/>
  <c r="BD242" i="1"/>
  <c r="AJ242" i="1"/>
  <c r="BF195" i="1"/>
  <c r="AI210" i="1"/>
  <c r="AH219" i="1"/>
  <c r="BF219" i="1" s="1"/>
  <c r="BE219" i="1"/>
  <c r="BF229" i="1"/>
  <c r="BA230" i="1"/>
  <c r="BC230" i="1"/>
  <c r="BF242" i="1"/>
  <c r="Q253" i="1"/>
  <c r="P253" i="1"/>
  <c r="O253" i="1"/>
  <c r="Z261" i="1"/>
  <c r="BC261" i="1"/>
  <c r="BG261" i="1" s="1"/>
  <c r="AI261" i="1"/>
  <c r="BB176" i="1"/>
  <c r="BB184" i="1"/>
  <c r="BD185" i="1"/>
  <c r="BH185" i="1" s="1"/>
  <c r="BG186" i="1"/>
  <c r="AQ188" i="1"/>
  <c r="BC188" i="1" s="1"/>
  <c r="BG188" i="1" s="1"/>
  <c r="AI219" i="1"/>
  <c r="AR230" i="1"/>
  <c r="BB230" i="1" s="1"/>
  <c r="BC232" i="1"/>
  <c r="BG232" i="1" s="1"/>
  <c r="AI232" i="1"/>
  <c r="AH238" i="1"/>
  <c r="BF238" i="1" s="1"/>
  <c r="BA247" i="1"/>
  <c r="BF257" i="1"/>
  <c r="AJ257" i="1"/>
  <c r="BE259" i="1"/>
  <c r="AH259" i="1"/>
  <c r="BF259" i="1" s="1"/>
  <c r="AI192" i="1"/>
  <c r="BG199" i="1"/>
  <c r="BG201" i="1"/>
  <c r="BG203" i="1"/>
  <c r="BF246" i="1"/>
  <c r="BE189" i="1"/>
  <c r="BE191" i="1"/>
  <c r="BG191" i="1" s="1"/>
  <c r="BE193" i="1"/>
  <c r="BG193" i="1" s="1"/>
  <c r="BE195" i="1"/>
  <c r="BG195" i="1" s="1"/>
  <c r="BC276" i="1"/>
  <c r="BG276" i="1" s="1"/>
  <c r="BA276" i="1"/>
  <c r="AR276" i="1"/>
  <c r="BB276" i="1" s="1"/>
  <c r="BD222" i="1"/>
  <c r="BH222" i="1" s="1"/>
  <c r="BC274" i="1"/>
  <c r="BG274" i="1" s="1"/>
  <c r="BA274" i="1"/>
  <c r="AR274" i="1"/>
  <c r="Q325" i="1"/>
  <c r="O325" i="1"/>
  <c r="P325" i="1"/>
  <c r="AR207" i="1"/>
  <c r="BB207" i="1" s="1"/>
  <c r="AZ231" i="1"/>
  <c r="BF231" i="1" s="1"/>
  <c r="Z240" i="1"/>
  <c r="AR244" i="1"/>
  <c r="BB244" i="1" s="1"/>
  <c r="BA256" i="1"/>
  <c r="BC258" i="1"/>
  <c r="AI258" i="1"/>
  <c r="BA267" i="1"/>
  <c r="AZ267" i="1"/>
  <c r="BB267" i="1" s="1"/>
  <c r="O287" i="1"/>
  <c r="Q287" i="1"/>
  <c r="P287" i="1"/>
  <c r="Z205" i="1"/>
  <c r="Z217" i="1"/>
  <c r="BC217" i="1"/>
  <c r="BG217" i="1" s="1"/>
  <c r="AR221" i="1"/>
  <c r="BB221" i="1" s="1"/>
  <c r="AR226" i="1"/>
  <c r="BB226" i="1" s="1"/>
  <c r="AI227" i="1"/>
  <c r="Z228" i="1"/>
  <c r="Z234" i="1"/>
  <c r="AR238" i="1"/>
  <c r="BB238" i="1" s="1"/>
  <c r="BC255" i="1"/>
  <c r="Z255" i="1"/>
  <c r="Z258" i="1"/>
  <c r="AR232" i="1"/>
  <c r="BB232" i="1" s="1"/>
  <c r="AR239" i="1"/>
  <c r="BE256" i="1"/>
  <c r="AH258" i="1"/>
  <c r="BF258" i="1" s="1"/>
  <c r="BE258" i="1"/>
  <c r="BA263" i="1"/>
  <c r="AH189" i="1"/>
  <c r="BF189" i="1" s="1"/>
  <c r="AH191" i="1"/>
  <c r="BF191" i="1" s="1"/>
  <c r="AH193" i="1"/>
  <c r="BF193" i="1" s="1"/>
  <c r="AJ208" i="1"/>
  <c r="AJ209" i="1"/>
  <c r="BD214" i="1"/>
  <c r="AJ241" i="1"/>
  <c r="AI262" i="1"/>
  <c r="BC262" i="1"/>
  <c r="BA221" i="1"/>
  <c r="AJ235" i="1"/>
  <c r="P251" i="1"/>
  <c r="BD254" i="1"/>
  <c r="BH254" i="1" s="1"/>
  <c r="Z262" i="1"/>
  <c r="AJ300" i="1"/>
  <c r="BF300" i="1"/>
  <c r="AI209" i="1"/>
  <c r="BA212" i="1"/>
  <c r="AH214" i="1"/>
  <c r="AH216" i="1"/>
  <c r="BE216" i="1"/>
  <c r="AI223" i="1"/>
  <c r="AJ229" i="1"/>
  <c r="BF254" i="1"/>
  <c r="AH260" i="1"/>
  <c r="BF260" i="1" s="1"/>
  <c r="BE260" i="1"/>
  <c r="BG260" i="1" s="1"/>
  <c r="AH262" i="1"/>
  <c r="BF262" i="1" s="1"/>
  <c r="BE262" i="1"/>
  <c r="BG270" i="1"/>
  <c r="BD206" i="1"/>
  <c r="AI216" i="1"/>
  <c r="BB240" i="1"/>
  <c r="AI246" i="1"/>
  <c r="AJ253" i="1"/>
  <c r="BE255" i="1"/>
  <c r="AJ266" i="1"/>
  <c r="BD266" i="1"/>
  <c r="AJ243" i="1"/>
  <c r="AI248" i="1"/>
  <c r="BC254" i="1"/>
  <c r="BA254" i="1"/>
  <c r="BD284" i="1"/>
  <c r="BD248" i="1"/>
  <c r="BB249" i="1"/>
  <c r="BB253" i="1"/>
  <c r="Z259" i="1"/>
  <c r="BC259" i="1"/>
  <c r="AI259" i="1"/>
  <c r="AR273" i="1"/>
  <c r="BB273" i="1" s="1"/>
  <c r="BA273" i="1"/>
  <c r="BD267" i="1"/>
  <c r="AJ292" i="1"/>
  <c r="AH308" i="1"/>
  <c r="BE308" i="1"/>
  <c r="AZ312" i="1"/>
  <c r="BB312" i="1" s="1"/>
  <c r="BA312" i="1"/>
  <c r="AZ271" i="1"/>
  <c r="BF271" i="1" s="1"/>
  <c r="AI273" i="1"/>
  <c r="BC273" i="1"/>
  <c r="AI279" i="1"/>
  <c r="AH279" i="1"/>
  <c r="BF279" i="1" s="1"/>
  <c r="O289" i="1"/>
  <c r="Q289" i="1"/>
  <c r="P289" i="1"/>
  <c r="BC256" i="1"/>
  <c r="AH267" i="1"/>
  <c r="AJ267" i="1" s="1"/>
  <c r="AI270" i="1"/>
  <c r="AH270" i="1"/>
  <c r="BF270" i="1" s="1"/>
  <c r="Z273" i="1"/>
  <c r="AI276" i="1"/>
  <c r="AH276" i="1"/>
  <c r="BF276" i="1" s="1"/>
  <c r="AJ279" i="1"/>
  <c r="BE338" i="1"/>
  <c r="AH338" i="1"/>
  <c r="BF338" i="1" s="1"/>
  <c r="AI266" i="1"/>
  <c r="BC266" i="1"/>
  <c r="BG266" i="1" s="1"/>
  <c r="Z278" i="1"/>
  <c r="BC278" i="1"/>
  <c r="AR282" i="1"/>
  <c r="BB282" i="1" s="1"/>
  <c r="BB292" i="1"/>
  <c r="O297" i="1"/>
  <c r="Q297" i="1"/>
  <c r="P297" i="1"/>
  <c r="BF302" i="1"/>
  <c r="AR315" i="1"/>
  <c r="BB315" i="1" s="1"/>
  <c r="BA315" i="1"/>
  <c r="BD328" i="1"/>
  <c r="BH328" i="1" s="1"/>
  <c r="AJ328" i="1"/>
  <c r="BA258" i="1"/>
  <c r="AI260" i="1"/>
  <c r="BF266" i="1"/>
  <c r="AI269" i="1"/>
  <c r="BC269" i="1"/>
  <c r="BE279" i="1"/>
  <c r="BG279" i="1" s="1"/>
  <c r="BA282" i="1"/>
  <c r="O291" i="1"/>
  <c r="Q291" i="1"/>
  <c r="P291" i="1"/>
  <c r="BB302" i="1"/>
  <c r="BF313" i="1"/>
  <c r="AJ269" i="1"/>
  <c r="BD269" i="1"/>
  <c r="BH269" i="1" s="1"/>
  <c r="P284" i="1"/>
  <c r="Q294" i="1"/>
  <c r="P294" i="1"/>
  <c r="AZ261" i="1"/>
  <c r="BF261" i="1" s="1"/>
  <c r="BD265" i="1"/>
  <c r="AI281" i="1"/>
  <c r="AH281" i="1"/>
  <c r="BF281" i="1" s="1"/>
  <c r="O309" i="1"/>
  <c r="Q309" i="1"/>
  <c r="P309" i="1"/>
  <c r="Z340" i="1"/>
  <c r="BC340" i="1"/>
  <c r="AI340" i="1"/>
  <c r="BB364" i="1"/>
  <c r="BA260" i="1"/>
  <c r="BA266" i="1"/>
  <c r="AI272" i="1"/>
  <c r="BE273" i="1"/>
  <c r="BD275" i="1"/>
  <c r="AR278" i="1"/>
  <c r="AJ281" i="1"/>
  <c r="AJ288" i="1"/>
  <c r="AJ301" i="1"/>
  <c r="BD301" i="1"/>
  <c r="BH301" i="1" s="1"/>
  <c r="BG323" i="1"/>
  <c r="BE250" i="1"/>
  <c r="BE252" i="1"/>
  <c r="BE254" i="1"/>
  <c r="AR255" i="1"/>
  <c r="BB255" i="1" s="1"/>
  <c r="Z256" i="1"/>
  <c r="AH265" i="1"/>
  <c r="BF265" i="1" s="1"/>
  <c r="BE270" i="1"/>
  <c r="AJ272" i="1"/>
  <c r="AG278" i="1"/>
  <c r="P293" i="1"/>
  <c r="AJ296" i="1"/>
  <c r="BF296" i="1"/>
  <c r="BB316" i="1"/>
  <c r="Z344" i="1"/>
  <c r="BC344" i="1"/>
  <c r="AI344" i="1"/>
  <c r="AI264" i="1"/>
  <c r="BC264" i="1"/>
  <c r="BG264" i="1" s="1"/>
  <c r="BB265" i="1"/>
  <c r="BE266" i="1"/>
  <c r="BA269" i="1"/>
  <c r="BC272" i="1"/>
  <c r="AR272" i="1"/>
  <c r="BB272" i="1" s="1"/>
  <c r="AH275" i="1"/>
  <c r="BF275" i="1" s="1"/>
  <c r="AJ280" i="1"/>
  <c r="P303" i="1"/>
  <c r="O303" i="1"/>
  <c r="Z308" i="1"/>
  <c r="BC308" i="1"/>
  <c r="AI308" i="1"/>
  <c r="AZ316" i="1"/>
  <c r="BF316" i="1" s="1"/>
  <c r="BA316" i="1"/>
  <c r="AH355" i="1"/>
  <c r="BF355" i="1" s="1"/>
  <c r="BE355" i="1"/>
  <c r="AI355" i="1"/>
  <c r="Z264" i="1"/>
  <c r="BB275" i="1"/>
  <c r="AJ277" i="1"/>
  <c r="BD277" i="1"/>
  <c r="BH277" i="1" s="1"/>
  <c r="BE281" i="1"/>
  <c r="BG281" i="1" s="1"/>
  <c r="BG283" i="1"/>
  <c r="BD286" i="1"/>
  <c r="BB288" i="1"/>
  <c r="Q296" i="1"/>
  <c r="P296" i="1"/>
  <c r="BG310" i="1"/>
  <c r="Z327" i="1"/>
  <c r="BC327" i="1"/>
  <c r="AI327" i="1"/>
  <c r="AI268" i="1"/>
  <c r="BE269" i="1"/>
  <c r="AJ271" i="1"/>
  <c r="BA272" i="1"/>
  <c r="BB296" i="1"/>
  <c r="BD263" i="1"/>
  <c r="AJ263" i="1"/>
  <c r="BE272" i="1"/>
  <c r="AJ274" i="1"/>
  <c r="BD288" i="1"/>
  <c r="P295" i="1"/>
  <c r="Z338" i="1"/>
  <c r="BC338" i="1"/>
  <c r="BE265" i="1"/>
  <c r="BC268" i="1"/>
  <c r="BG268" i="1" s="1"/>
  <c r="AR268" i="1"/>
  <c r="BB268" i="1" s="1"/>
  <c r="AI274" i="1"/>
  <c r="AH274" i="1"/>
  <c r="BF274" i="1" s="1"/>
  <c r="BA275" i="1"/>
  <c r="Q290" i="1"/>
  <c r="BE283" i="1"/>
  <c r="BC326" i="1"/>
  <c r="BG326" i="1" s="1"/>
  <c r="BE327" i="1"/>
  <c r="AH353" i="1"/>
  <c r="BE353" i="1"/>
  <c r="BG353" i="1" s="1"/>
  <c r="BA301" i="1"/>
  <c r="BD311" i="1"/>
  <c r="BD317" i="1"/>
  <c r="BD318" i="1"/>
  <c r="BH318" i="1" s="1"/>
  <c r="AJ318" i="1"/>
  <c r="BF319" i="1"/>
  <c r="BE342" i="1"/>
  <c r="AH342" i="1"/>
  <c r="BF342" i="1" s="1"/>
  <c r="BH349" i="1"/>
  <c r="AI353" i="1"/>
  <c r="AI267" i="1"/>
  <c r="AI271" i="1"/>
  <c r="AI275" i="1"/>
  <c r="BC277" i="1"/>
  <c r="BG277" i="1" s="1"/>
  <c r="AZ298" i="1"/>
  <c r="BF298" i="1" s="1"/>
  <c r="AH299" i="1"/>
  <c r="BF299" i="1" s="1"/>
  <c r="AJ302" i="1"/>
  <c r="AH310" i="1"/>
  <c r="BF310" i="1" s="1"/>
  <c r="Z312" i="1"/>
  <c r="AJ313" i="1"/>
  <c r="BD313" i="1"/>
  <c r="BH313" i="1" s="1"/>
  <c r="BA322" i="1"/>
  <c r="BA323" i="1"/>
  <c r="AI342" i="1"/>
  <c r="BA343" i="1"/>
  <c r="AH349" i="1"/>
  <c r="BF349" i="1" s="1"/>
  <c r="BE349" i="1"/>
  <c r="BE356" i="1"/>
  <c r="BG356" i="1" s="1"/>
  <c r="AH356" i="1"/>
  <c r="BF356" i="1" s="1"/>
  <c r="BD364" i="1"/>
  <c r="BD366" i="1"/>
  <c r="BH366" i="1" s="1"/>
  <c r="AJ366" i="1"/>
  <c r="Z283" i="1"/>
  <c r="Z285" i="1"/>
  <c r="Z287" i="1"/>
  <c r="Z289" i="1"/>
  <c r="Z291" i="1"/>
  <c r="Z293" i="1"/>
  <c r="Z295" i="1"/>
  <c r="Z297" i="1"/>
  <c r="AI299" i="1"/>
  <c r="BC304" i="1"/>
  <c r="AI310" i="1"/>
  <c r="AH311" i="1"/>
  <c r="BF311" i="1" s="1"/>
  <c r="Z314" i="1"/>
  <c r="BD315" i="1"/>
  <c r="Z316" i="1"/>
  <c r="AH317" i="1"/>
  <c r="BF317" i="1" s="1"/>
  <c r="BB319" i="1"/>
  <c r="AZ321" i="1"/>
  <c r="BB321" i="1" s="1"/>
  <c r="BC330" i="1"/>
  <c r="BG330" i="1" s="1"/>
  <c r="BD345" i="1"/>
  <c r="AI349" i="1"/>
  <c r="BB353" i="1"/>
  <c r="AI356" i="1"/>
  <c r="BA357" i="1"/>
  <c r="BA284" i="1"/>
  <c r="BA286" i="1"/>
  <c r="BA288" i="1"/>
  <c r="BA290" i="1"/>
  <c r="BA292" i="1"/>
  <c r="BA294" i="1"/>
  <c r="BA296" i="1"/>
  <c r="BD300" i="1"/>
  <c r="Z303" i="1"/>
  <c r="AI311" i="1"/>
  <c r="AI312" i="1"/>
  <c r="BF314" i="1"/>
  <c r="AI317" i="1"/>
  <c r="BA320" i="1"/>
  <c r="BA321" i="1"/>
  <c r="BC322" i="1"/>
  <c r="BD330" i="1"/>
  <c r="BH330" i="1" s="1"/>
  <c r="AJ330" i="1"/>
  <c r="AY338" i="1"/>
  <c r="AZ338" i="1" s="1"/>
  <c r="BD341" i="1"/>
  <c r="AH345" i="1"/>
  <c r="BF345" i="1" s="1"/>
  <c r="BE345" i="1"/>
  <c r="BG345" i="1" s="1"/>
  <c r="AJ349" i="1"/>
  <c r="BH350" i="1"/>
  <c r="BE352" i="1"/>
  <c r="AH352" i="1"/>
  <c r="BF352" i="1" s="1"/>
  <c r="BD359" i="1"/>
  <c r="BF362" i="1"/>
  <c r="AH283" i="1"/>
  <c r="BF283" i="1" s="1"/>
  <c r="AH285" i="1"/>
  <c r="BC298" i="1"/>
  <c r="BE301" i="1"/>
  <c r="BG301" i="1" s="1"/>
  <c r="BA309" i="1"/>
  <c r="BB311" i="1"/>
  <c r="AI313" i="1"/>
  <c r="AI314" i="1"/>
  <c r="AH315" i="1"/>
  <c r="BF315" i="1" s="1"/>
  <c r="AI316" i="1"/>
  <c r="BB317" i="1"/>
  <c r="BC321" i="1"/>
  <c r="BG321" i="1" s="1"/>
  <c r="BE322" i="1"/>
  <c r="AJ329" i="1"/>
  <c r="AH341" i="1"/>
  <c r="BE341" i="1"/>
  <c r="BG341" i="1" s="1"/>
  <c r="AI345" i="1"/>
  <c r="AI352" i="1"/>
  <c r="BA353" i="1"/>
  <c r="AH359" i="1"/>
  <c r="BE359" i="1"/>
  <c r="BG359" i="1" s="1"/>
  <c r="AI287" i="1"/>
  <c r="AI289" i="1"/>
  <c r="AI291" i="1"/>
  <c r="AI293" i="1"/>
  <c r="AI295" i="1"/>
  <c r="AI297" i="1"/>
  <c r="BE298" i="1"/>
  <c r="AH303" i="1"/>
  <c r="BF303" i="1" s="1"/>
  <c r="BB313" i="1"/>
  <c r="AI315" i="1"/>
  <c r="BA318" i="1"/>
  <c r="BA319" i="1"/>
  <c r="BC320" i="1"/>
  <c r="BF330" i="1"/>
  <c r="AI341" i="1"/>
  <c r="AJ345" i="1"/>
  <c r="BE348" i="1"/>
  <c r="AH348" i="1"/>
  <c r="BF348" i="1" s="1"/>
  <c r="BH355" i="1"/>
  <c r="AI359" i="1"/>
  <c r="BG361" i="1"/>
  <c r="BB362" i="1"/>
  <c r="AJ364" i="1"/>
  <c r="BA330" i="1"/>
  <c r="AR330" i="1"/>
  <c r="BB330" i="1" s="1"/>
  <c r="BE340" i="1"/>
  <c r="AH340" i="1"/>
  <c r="BF340" i="1" s="1"/>
  <c r="BD342" i="1"/>
  <c r="BE344" i="1"/>
  <c r="AH344" i="1"/>
  <c r="BF344" i="1" s="1"/>
  <c r="BG349" i="1"/>
  <c r="BE364" i="1"/>
  <c r="BG364" i="1" s="1"/>
  <c r="AZ364" i="1"/>
  <c r="BF364" i="1" s="1"/>
  <c r="AR279" i="1"/>
  <c r="BB279" i="1" s="1"/>
  <c r="AR281" i="1"/>
  <c r="BB281" i="1" s="1"/>
  <c r="AR283" i="1"/>
  <c r="BB283" i="1" s="1"/>
  <c r="AR285" i="1"/>
  <c r="BB285" i="1" s="1"/>
  <c r="AR287" i="1"/>
  <c r="BB287" i="1" s="1"/>
  <c r="AR289" i="1"/>
  <c r="BB289" i="1" s="1"/>
  <c r="AR291" i="1"/>
  <c r="BB291" i="1" s="1"/>
  <c r="AR293" i="1"/>
  <c r="BB293" i="1" s="1"/>
  <c r="AR295" i="1"/>
  <c r="BB295" i="1" s="1"/>
  <c r="AR297" i="1"/>
  <c r="BB297" i="1" s="1"/>
  <c r="BC302" i="1"/>
  <c r="AR303" i="1"/>
  <c r="BB303" i="1" s="1"/>
  <c r="BC311" i="1"/>
  <c r="BG311" i="1" s="1"/>
  <c r="BA313" i="1"/>
  <c r="BC317" i="1"/>
  <c r="BG317" i="1" s="1"/>
  <c r="BE318" i="1"/>
  <c r="BG318" i="1" s="1"/>
  <c r="AJ325" i="1"/>
  <c r="BD325" i="1"/>
  <c r="BH325" i="1" s="1"/>
  <c r="Z326" i="1"/>
  <c r="AI328" i="1"/>
  <c r="BA329" i="1"/>
  <c r="AR329" i="1"/>
  <c r="BB329" i="1" s="1"/>
  <c r="BA345" i="1"/>
  <c r="AH351" i="1"/>
  <c r="BF351" i="1" s="1"/>
  <c r="BH351" i="1" s="1"/>
  <c r="BE351" i="1"/>
  <c r="AJ355" i="1"/>
  <c r="BD356" i="1"/>
  <c r="BE358" i="1"/>
  <c r="AH358" i="1"/>
  <c r="BF358" i="1" s="1"/>
  <c r="BA359" i="1"/>
  <c r="AZ359" i="1"/>
  <c r="BB359" i="1" s="1"/>
  <c r="BG362" i="1"/>
  <c r="BC263" i="1"/>
  <c r="BG263" i="1" s="1"/>
  <c r="BC265" i="1"/>
  <c r="BG265" i="1" s="1"/>
  <c r="BC267" i="1"/>
  <c r="BG267" i="1" s="1"/>
  <c r="BC271" i="1"/>
  <c r="BG271" i="1" s="1"/>
  <c r="BC275" i="1"/>
  <c r="BG275" i="1" s="1"/>
  <c r="Z298" i="1"/>
  <c r="BD299" i="1"/>
  <c r="BC313" i="1"/>
  <c r="BG313" i="1" s="1"/>
  <c r="BF326" i="1"/>
  <c r="BD347" i="1"/>
  <c r="AI351" i="1"/>
  <c r="BC352" i="1"/>
  <c r="BG352" i="1" s="1"/>
  <c r="BB355" i="1"/>
  <c r="AI358" i="1"/>
  <c r="AI304" i="1"/>
  <c r="BE312" i="1"/>
  <c r="BG312" i="1" s="1"/>
  <c r="BC315" i="1"/>
  <c r="BG315" i="1" s="1"/>
  <c r="BE316" i="1"/>
  <c r="BG316" i="1" s="1"/>
  <c r="AJ323" i="1"/>
  <c r="BD323" i="1"/>
  <c r="BD324" i="1"/>
  <c r="AJ324" i="1"/>
  <c r="AH347" i="1"/>
  <c r="BE347" i="1"/>
  <c r="AJ351" i="1"/>
  <c r="BD352" i="1"/>
  <c r="BH352" i="1" s="1"/>
  <c r="BE354" i="1"/>
  <c r="BG354" i="1" s="1"/>
  <c r="AH354" i="1"/>
  <c r="BF354" i="1" s="1"/>
  <c r="BH354" i="1" s="1"/>
  <c r="BA279" i="1"/>
  <c r="BA281" i="1"/>
  <c r="AJ304" i="1"/>
  <c r="BE314" i="1"/>
  <c r="BG314" i="1" s="1"/>
  <c r="AI325" i="1"/>
  <c r="BA328" i="1"/>
  <c r="BC329" i="1"/>
  <c r="BG329" i="1" s="1"/>
  <c r="AH339" i="1"/>
  <c r="BF339" i="1" s="1"/>
  <c r="BH339" i="1" s="1"/>
  <c r="BE339" i="1"/>
  <c r="BG339" i="1" s="1"/>
  <c r="BD343" i="1"/>
  <c r="AI347" i="1"/>
  <c r="BC348" i="1"/>
  <c r="BG348" i="1" s="1"/>
  <c r="AI354" i="1"/>
  <c r="BA355" i="1"/>
  <c r="BB358" i="1"/>
  <c r="AH280" i="1"/>
  <c r="BF280" i="1" s="1"/>
  <c r="BH280" i="1" s="1"/>
  <c r="AH282" i="1"/>
  <c r="BF282" i="1" s="1"/>
  <c r="AH284" i="1"/>
  <c r="BF284" i="1" s="1"/>
  <c r="AH286" i="1"/>
  <c r="BF286" i="1" s="1"/>
  <c r="AH288" i="1"/>
  <c r="BF288" i="1" s="1"/>
  <c r="AH290" i="1"/>
  <c r="BF290" i="1" s="1"/>
  <c r="AH292" i="1"/>
  <c r="BF292" i="1" s="1"/>
  <c r="BH292" i="1" s="1"/>
  <c r="AH294" i="1"/>
  <c r="AJ321" i="1"/>
  <c r="BD321" i="1"/>
  <c r="BD322" i="1"/>
  <c r="AJ322" i="1"/>
  <c r="BF323" i="1"/>
  <c r="AQ338" i="1"/>
  <c r="AI339" i="1"/>
  <c r="AH343" i="1"/>
  <c r="BE343" i="1"/>
  <c r="BG343" i="1" s="1"/>
  <c r="BD348" i="1"/>
  <c r="BH348" i="1" s="1"/>
  <c r="BE350" i="1"/>
  <c r="BG350" i="1" s="1"/>
  <c r="AH350" i="1"/>
  <c r="BF350" i="1" s="1"/>
  <c r="BG355" i="1"/>
  <c r="BD357" i="1"/>
  <c r="BD302" i="1"/>
  <c r="AJ309" i="1"/>
  <c r="BD309" i="1"/>
  <c r="BH309" i="1" s="1"/>
  <c r="BF322" i="1"/>
  <c r="AI323" i="1"/>
  <c r="BA326" i="1"/>
  <c r="BA327" i="1"/>
  <c r="BB347" i="1"/>
  <c r="AH357" i="1"/>
  <c r="BE357" i="1"/>
  <c r="BG357" i="1" s="1"/>
  <c r="BC360" i="1"/>
  <c r="AI360" i="1"/>
  <c r="Z360" i="1"/>
  <c r="BC365" i="1"/>
  <c r="BG365" i="1" s="1"/>
  <c r="BA365" i="1"/>
  <c r="AR365" i="1"/>
  <c r="BC300" i="1"/>
  <c r="BG300" i="1" s="1"/>
  <c r="AJ319" i="1"/>
  <c r="BD319" i="1"/>
  <c r="BH319" i="1" s="1"/>
  <c r="BD320" i="1"/>
  <c r="BH320" i="1" s="1"/>
  <c r="AJ320" i="1"/>
  <c r="BB323" i="1"/>
  <c r="BE328" i="1"/>
  <c r="BB339" i="1"/>
  <c r="BE346" i="1"/>
  <c r="BG346" i="1" s="1"/>
  <c r="AH346" i="1"/>
  <c r="BF346" i="1" s="1"/>
  <c r="BH346" i="1" s="1"/>
  <c r="BD353" i="1"/>
  <c r="BC358" i="1"/>
  <c r="BD362" i="1"/>
  <c r="BH362" i="1" s="1"/>
  <c r="AH367" i="1"/>
  <c r="BF367" i="1" s="1"/>
  <c r="BC363" i="1"/>
  <c r="BG363" i="1" s="1"/>
  <c r="BA364" i="1"/>
  <c r="AI367" i="1"/>
  <c r="BD363" i="1"/>
  <c r="BH363" i="1" s="1"/>
  <c r="AR367" i="1"/>
  <c r="BB367" i="1" s="1"/>
  <c r="AI361" i="1"/>
  <c r="BE366" i="1"/>
  <c r="BC367" i="1"/>
  <c r="BG367" i="1" s="1"/>
  <c r="O214" i="1" l="1"/>
  <c r="Q214" i="1"/>
  <c r="P214" i="1"/>
  <c r="O222" i="1"/>
  <c r="P222" i="1"/>
  <c r="Q222" i="1"/>
  <c r="O161" i="1"/>
  <c r="Q161" i="1"/>
  <c r="P161" i="1"/>
  <c r="Q249" i="1"/>
  <c r="O249" i="1"/>
  <c r="P249" i="1"/>
  <c r="O85" i="1"/>
  <c r="Q85" i="1"/>
  <c r="P85" i="1"/>
  <c r="O282" i="1"/>
  <c r="Q282" i="1"/>
  <c r="P282" i="1"/>
  <c r="O285" i="1"/>
  <c r="Q285" i="1"/>
  <c r="P285" i="1"/>
  <c r="P234" i="1"/>
  <c r="Q234" i="1"/>
  <c r="O234" i="1"/>
  <c r="Q48" i="1"/>
  <c r="O48" i="1"/>
  <c r="P48" i="1"/>
  <c r="O286" i="1"/>
  <c r="P286" i="1"/>
  <c r="Q286" i="1"/>
  <c r="O163" i="1"/>
  <c r="Q163" i="1"/>
  <c r="P163" i="1"/>
  <c r="O288" i="1"/>
  <c r="P288" i="1"/>
  <c r="Q288" i="1"/>
  <c r="BD208" i="1"/>
  <c r="BH208" i="1" s="1"/>
  <c r="BH209" i="1"/>
  <c r="AJ247" i="1"/>
  <c r="BD247" i="1"/>
  <c r="BG302" i="1"/>
  <c r="BG322" i="1"/>
  <c r="Q322" i="1" s="1"/>
  <c r="BG304" i="1"/>
  <c r="AJ310" i="1"/>
  <c r="Q293" i="1"/>
  <c r="BA308" i="1"/>
  <c r="P319" i="1"/>
  <c r="O251" i="1"/>
  <c r="BG211" i="1"/>
  <c r="BG194" i="1"/>
  <c r="BF172" i="1"/>
  <c r="P159" i="1"/>
  <c r="BA128" i="1"/>
  <c r="BG57" i="1"/>
  <c r="P87" i="1"/>
  <c r="BG107" i="1"/>
  <c r="BF23" i="1"/>
  <c r="BH23" i="1" s="1"/>
  <c r="BG119" i="1"/>
  <c r="BG44" i="1"/>
  <c r="BG298" i="1"/>
  <c r="O319" i="1"/>
  <c r="BH168" i="1"/>
  <c r="AJ180" i="1"/>
  <c r="AJ244" i="1"/>
  <c r="BB203" i="1"/>
  <c r="AJ122" i="1"/>
  <c r="Q159" i="1"/>
  <c r="BG72" i="1"/>
  <c r="Q72" i="1" s="1"/>
  <c r="BB11" i="1"/>
  <c r="BF130" i="1"/>
  <c r="BG123" i="1"/>
  <c r="BB201" i="1"/>
  <c r="BD201" i="1"/>
  <c r="BH201" i="1" s="1"/>
  <c r="AJ36" i="1"/>
  <c r="Q295" i="1"/>
  <c r="BB278" i="1"/>
  <c r="BG255" i="1"/>
  <c r="P239" i="1"/>
  <c r="BD150" i="1"/>
  <c r="BH150" i="1" s="1"/>
  <c r="Q192" i="1"/>
  <c r="BB128" i="1"/>
  <c r="BA218" i="1"/>
  <c r="BF128" i="1"/>
  <c r="BG114" i="1"/>
  <c r="BH36" i="1"/>
  <c r="BG16" i="1"/>
  <c r="BF190" i="1"/>
  <c r="BG122" i="1"/>
  <c r="BD279" i="1"/>
  <c r="BH279" i="1" s="1"/>
  <c r="BG179" i="1"/>
  <c r="BG320" i="1"/>
  <c r="P320" i="1" s="1"/>
  <c r="BG351" i="1"/>
  <c r="AJ348" i="1"/>
  <c r="BF285" i="1"/>
  <c r="BG258" i="1"/>
  <c r="BH322" i="1"/>
  <c r="BF217" i="1"/>
  <c r="BG230" i="1"/>
  <c r="O230" i="1" s="1"/>
  <c r="O192" i="1"/>
  <c r="BB174" i="1"/>
  <c r="AR218" i="1"/>
  <c r="BB218" i="1" s="1"/>
  <c r="AJ123" i="1"/>
  <c r="BD70" i="1"/>
  <c r="BG156" i="1"/>
  <c r="BG75" i="1"/>
  <c r="BG51" i="1"/>
  <c r="BG93" i="1"/>
  <c r="BF247" i="1"/>
  <c r="BB247" i="1"/>
  <c r="BG224" i="1"/>
  <c r="BD294" i="1"/>
  <c r="BH288" i="1"/>
  <c r="BA278" i="1"/>
  <c r="BB229" i="1"/>
  <c r="BH161" i="1"/>
  <c r="Q239" i="1"/>
  <c r="BH69" i="1"/>
  <c r="O87" i="1"/>
  <c r="BG64" i="1"/>
  <c r="BD290" i="1"/>
  <c r="BH290" i="1" s="1"/>
  <c r="BH324" i="1"/>
  <c r="O292" i="1"/>
  <c r="BG327" i="1"/>
  <c r="AJ265" i="1"/>
  <c r="P292" i="1"/>
  <c r="BH229" i="1"/>
  <c r="BG243" i="1"/>
  <c r="AJ149" i="1"/>
  <c r="BH176" i="1"/>
  <c r="P228" i="1"/>
  <c r="BD154" i="1"/>
  <c r="BH154" i="1" s="1"/>
  <c r="BG187" i="1"/>
  <c r="BD246" i="1"/>
  <c r="BH246" i="1" s="1"/>
  <c r="BB160" i="1"/>
  <c r="AI188" i="1"/>
  <c r="BH48" i="1"/>
  <c r="BB13" i="1"/>
  <c r="BG204" i="1"/>
  <c r="P290" i="1"/>
  <c r="BD270" i="1"/>
  <c r="BH270" i="1" s="1"/>
  <c r="BH265" i="1"/>
  <c r="Q240" i="1"/>
  <c r="AJ221" i="1"/>
  <c r="BD163" i="1"/>
  <c r="BH163" i="1" s="1"/>
  <c r="BD102" i="1"/>
  <c r="BH102" i="1" s="1"/>
  <c r="BG42" i="1"/>
  <c r="Q42" i="1" s="1"/>
  <c r="BG63" i="1"/>
  <c r="BD29" i="1"/>
  <c r="BH13" i="1"/>
  <c r="AJ40" i="1"/>
  <c r="BG83" i="1"/>
  <c r="BG54" i="1"/>
  <c r="BB69" i="1"/>
  <c r="BD69" i="1"/>
  <c r="BG189" i="1"/>
  <c r="AJ59" i="1"/>
  <c r="AJ10" i="1"/>
  <c r="BF115" i="1"/>
  <c r="AJ227" i="1"/>
  <c r="BD227" i="1"/>
  <c r="BH227" i="1" s="1"/>
  <c r="BH317" i="1"/>
  <c r="BF233" i="1"/>
  <c r="BH233" i="1" s="1"/>
  <c r="BG68" i="1"/>
  <c r="BH14" i="1"/>
  <c r="AH68" i="1"/>
  <c r="BF68" i="1" s="1"/>
  <c r="BE68" i="1"/>
  <c r="AJ35" i="1"/>
  <c r="BD35" i="1"/>
  <c r="BH35" i="1" s="1"/>
  <c r="AJ286" i="1"/>
  <c r="BA158" i="1"/>
  <c r="BD94" i="1"/>
  <c r="BH94" i="1" s="1"/>
  <c r="BH39" i="1"/>
  <c r="Q182" i="1"/>
  <c r="P182" i="1"/>
  <c r="AJ110" i="1"/>
  <c r="AJ315" i="1"/>
  <c r="BD225" i="1"/>
  <c r="BH225" i="1" s="1"/>
  <c r="BH263" i="1"/>
  <c r="BH286" i="1"/>
  <c r="BG254" i="1"/>
  <c r="BG178" i="1"/>
  <c r="O178" i="1" s="1"/>
  <c r="BH364" i="1"/>
  <c r="BH177" i="1"/>
  <c r="BG180" i="1"/>
  <c r="BB271" i="1"/>
  <c r="P137" i="1"/>
  <c r="BB68" i="1"/>
  <c r="AZ38" i="1"/>
  <c r="BB38" i="1" s="1"/>
  <c r="AJ365" i="1"/>
  <c r="BF188" i="1"/>
  <c r="BG360" i="1"/>
  <c r="BF312" i="1"/>
  <c r="AJ290" i="1"/>
  <c r="Q284" i="1"/>
  <c r="AJ276" i="1"/>
  <c r="BF308" i="1"/>
  <c r="BC248" i="1"/>
  <c r="BG248" i="1" s="1"/>
  <c r="AJ225" i="1"/>
  <c r="AJ152" i="1"/>
  <c r="BG173" i="1"/>
  <c r="O173" i="1" s="1"/>
  <c r="AJ146" i="1"/>
  <c r="BG196" i="1"/>
  <c r="AJ111" i="1"/>
  <c r="AG7" i="1"/>
  <c r="BH72" i="1"/>
  <c r="BE128" i="1"/>
  <c r="BG128" i="1" s="1"/>
  <c r="BD56" i="1"/>
  <c r="BA68" i="1"/>
  <c r="BH27" i="1"/>
  <c r="BG280" i="1"/>
  <c r="AJ182" i="1"/>
  <c r="BD182" i="1"/>
  <c r="BH182" i="1" s="1"/>
  <c r="BG324" i="1"/>
  <c r="BG148" i="1"/>
  <c r="BG77" i="1"/>
  <c r="Q351" i="1"/>
  <c r="P351" i="1"/>
  <c r="O351" i="1"/>
  <c r="Q71" i="1"/>
  <c r="P71" i="1"/>
  <c r="O71" i="1"/>
  <c r="Q29" i="1"/>
  <c r="P29" i="1"/>
  <c r="O29" i="1"/>
  <c r="Q55" i="1"/>
  <c r="P55" i="1"/>
  <c r="O55" i="1"/>
  <c r="O281" i="1"/>
  <c r="Q281" i="1"/>
  <c r="P281" i="1"/>
  <c r="Q357" i="1"/>
  <c r="P357" i="1"/>
  <c r="O357" i="1"/>
  <c r="Q132" i="1"/>
  <c r="P132" i="1"/>
  <c r="O132" i="1"/>
  <c r="P339" i="1"/>
  <c r="O339" i="1"/>
  <c r="Q339" i="1"/>
  <c r="Q195" i="1"/>
  <c r="P195" i="1"/>
  <c r="O195" i="1"/>
  <c r="Q53" i="1"/>
  <c r="P53" i="1"/>
  <c r="O53" i="1"/>
  <c r="Q15" i="1"/>
  <c r="P15" i="1"/>
  <c r="O15" i="1"/>
  <c r="Q166" i="1"/>
  <c r="P166" i="1"/>
  <c r="O166" i="1"/>
  <c r="Q193" i="1"/>
  <c r="P193" i="1"/>
  <c r="O193" i="1"/>
  <c r="Q43" i="1"/>
  <c r="P43" i="1"/>
  <c r="O43" i="1"/>
  <c r="Q191" i="1"/>
  <c r="P191" i="1"/>
  <c r="O191" i="1"/>
  <c r="Q52" i="1"/>
  <c r="P52" i="1"/>
  <c r="O52" i="1"/>
  <c r="O150" i="1"/>
  <c r="Q150" i="1"/>
  <c r="P150" i="1"/>
  <c r="Q354" i="1"/>
  <c r="P354" i="1"/>
  <c r="O354" i="1"/>
  <c r="Q359" i="1"/>
  <c r="P359" i="1"/>
  <c r="O359" i="1"/>
  <c r="O111" i="1"/>
  <c r="Q111" i="1"/>
  <c r="P111" i="1"/>
  <c r="Q160" i="1"/>
  <c r="P160" i="1"/>
  <c r="O160" i="1"/>
  <c r="P189" i="1"/>
  <c r="Q189" i="1"/>
  <c r="O189" i="1"/>
  <c r="Q177" i="1"/>
  <c r="P177" i="1"/>
  <c r="O177" i="1"/>
  <c r="Q11" i="1"/>
  <c r="O11" i="1"/>
  <c r="P11" i="1"/>
  <c r="Q316" i="1"/>
  <c r="O316" i="1"/>
  <c r="P316" i="1"/>
  <c r="O279" i="1"/>
  <c r="P279" i="1"/>
  <c r="Q279" i="1"/>
  <c r="O19" i="1"/>
  <c r="Q19" i="1"/>
  <c r="P19" i="1"/>
  <c r="Q343" i="1"/>
  <c r="P343" i="1"/>
  <c r="O343" i="1"/>
  <c r="Q312" i="1"/>
  <c r="O312" i="1"/>
  <c r="P312" i="1"/>
  <c r="O260" i="1"/>
  <c r="Q260" i="1"/>
  <c r="P260" i="1"/>
  <c r="Q135" i="1"/>
  <c r="P135" i="1"/>
  <c r="O135" i="1"/>
  <c r="Q350" i="1"/>
  <c r="P350" i="1"/>
  <c r="O350" i="1"/>
  <c r="Q318" i="1"/>
  <c r="O318" i="1"/>
  <c r="P318" i="1"/>
  <c r="Q353" i="1"/>
  <c r="P353" i="1"/>
  <c r="O353" i="1"/>
  <c r="Q172" i="1"/>
  <c r="P172" i="1"/>
  <c r="O172" i="1"/>
  <c r="Q320" i="1"/>
  <c r="O320" i="1"/>
  <c r="AJ282" i="1"/>
  <c r="P173" i="1"/>
  <c r="Q75" i="1"/>
  <c r="P75" i="1"/>
  <c r="O75" i="1"/>
  <c r="BF357" i="1"/>
  <c r="AJ357" i="1"/>
  <c r="O298" i="1"/>
  <c r="Q298" i="1"/>
  <c r="P298" i="1"/>
  <c r="P194" i="1"/>
  <c r="O194" i="1"/>
  <c r="Q194" i="1"/>
  <c r="P131" i="1"/>
  <c r="O131" i="1"/>
  <c r="Q131" i="1"/>
  <c r="BD166" i="1"/>
  <c r="BB166" i="1"/>
  <c r="BD116" i="1"/>
  <c r="BH116" i="1" s="1"/>
  <c r="BB116" i="1"/>
  <c r="BD107" i="1"/>
  <c r="BH107" i="1" s="1"/>
  <c r="AJ107" i="1"/>
  <c r="P16" i="1"/>
  <c r="O16" i="1"/>
  <c r="Q16" i="1"/>
  <c r="BF343" i="1"/>
  <c r="BH343" i="1" s="1"/>
  <c r="AJ343" i="1"/>
  <c r="AJ367" i="1"/>
  <c r="BG269" i="1"/>
  <c r="O206" i="1"/>
  <c r="Q206" i="1"/>
  <c r="P206" i="1"/>
  <c r="BD215" i="1"/>
  <c r="BH215" i="1" s="1"/>
  <c r="BD245" i="1"/>
  <c r="BH245" i="1" s="1"/>
  <c r="AJ245" i="1"/>
  <c r="Q229" i="1"/>
  <c r="P229" i="1"/>
  <c r="O229" i="1"/>
  <c r="Q179" i="1"/>
  <c r="P179" i="1"/>
  <c r="O179" i="1"/>
  <c r="BD238" i="1"/>
  <c r="BH238" i="1" s="1"/>
  <c r="BD131" i="1"/>
  <c r="BH131" i="1" s="1"/>
  <c r="AJ131" i="1"/>
  <c r="O140" i="1"/>
  <c r="Q140" i="1"/>
  <c r="P140" i="1"/>
  <c r="AJ81" i="1"/>
  <c r="BD81" i="1"/>
  <c r="BH81" i="1" s="1"/>
  <c r="P84" i="1"/>
  <c r="O84" i="1"/>
  <c r="Q84" i="1"/>
  <c r="BD74" i="1"/>
  <c r="BH74" i="1" s="1"/>
  <c r="AJ74" i="1"/>
  <c r="AJ346" i="1"/>
  <c r="BD367" i="1"/>
  <c r="BH367" i="1" s="1"/>
  <c r="Q265" i="1"/>
  <c r="O265" i="1"/>
  <c r="P265" i="1"/>
  <c r="BD326" i="1"/>
  <c r="BH326" i="1" s="1"/>
  <c r="AJ326" i="1"/>
  <c r="BH311" i="1"/>
  <c r="BG272" i="1"/>
  <c r="BD282" i="1"/>
  <c r="BH282" i="1" s="1"/>
  <c r="BF197" i="1"/>
  <c r="BH197" i="1" s="1"/>
  <c r="AJ215" i="1"/>
  <c r="AJ191" i="1"/>
  <c r="BF205" i="1"/>
  <c r="BB205" i="1"/>
  <c r="BD171" i="1"/>
  <c r="BH171" i="1" s="1"/>
  <c r="AJ171" i="1"/>
  <c r="BH189" i="1"/>
  <c r="BD216" i="1"/>
  <c r="BB216" i="1"/>
  <c r="BF236" i="1"/>
  <c r="AJ236" i="1"/>
  <c r="O146" i="1"/>
  <c r="Q146" i="1"/>
  <c r="P146" i="1"/>
  <c r="Q136" i="1"/>
  <c r="P136" i="1"/>
  <c r="O136" i="1"/>
  <c r="BF62" i="1"/>
  <c r="AJ62" i="1"/>
  <c r="BF235" i="1"/>
  <c r="BH235" i="1" s="1"/>
  <c r="BB235" i="1"/>
  <c r="O143" i="1"/>
  <c r="P143" i="1"/>
  <c r="Q143" i="1"/>
  <c r="BD84" i="1"/>
  <c r="BH84" i="1" s="1"/>
  <c r="AJ84" i="1"/>
  <c r="BD100" i="1"/>
  <c r="BH100" i="1" s="1"/>
  <c r="BD112" i="1"/>
  <c r="BH112" i="1" s="1"/>
  <c r="BB112" i="1"/>
  <c r="BD90" i="1"/>
  <c r="BH90" i="1" s="1"/>
  <c r="AJ90" i="1"/>
  <c r="AI8" i="1"/>
  <c r="BC8" i="1"/>
  <c r="Z8" i="1"/>
  <c r="Y7" i="1"/>
  <c r="BH11" i="1"/>
  <c r="BH62" i="1"/>
  <c r="BB9" i="1"/>
  <c r="BF25" i="1"/>
  <c r="BH25" i="1" s="1"/>
  <c r="P22" i="1"/>
  <c r="O22" i="1"/>
  <c r="Q22" i="1"/>
  <c r="P30" i="1"/>
  <c r="O30" i="1"/>
  <c r="Q30" i="1"/>
  <c r="BH18" i="1"/>
  <c r="BD194" i="1"/>
  <c r="BH194" i="1" s="1"/>
  <c r="AJ194" i="1"/>
  <c r="AJ238" i="1"/>
  <c r="AJ75" i="1"/>
  <c r="BD75" i="1"/>
  <c r="BH75" i="1" s="1"/>
  <c r="O220" i="1"/>
  <c r="P220" i="1"/>
  <c r="Q220" i="1"/>
  <c r="AJ98" i="1"/>
  <c r="BD98" i="1"/>
  <c r="BD101" i="1"/>
  <c r="BH101" i="1" s="1"/>
  <c r="AJ101" i="1"/>
  <c r="P90" i="1"/>
  <c r="O90" i="1"/>
  <c r="Q90" i="1"/>
  <c r="Q39" i="1"/>
  <c r="P39" i="1"/>
  <c r="O39" i="1"/>
  <c r="BF321" i="1"/>
  <c r="BA338" i="1"/>
  <c r="AR338" i="1"/>
  <c r="BB338" i="1" s="1"/>
  <c r="Q263" i="1"/>
  <c r="O263" i="1"/>
  <c r="P263" i="1"/>
  <c r="BF341" i="1"/>
  <c r="BH341" i="1" s="1"/>
  <c r="AJ341" i="1"/>
  <c r="O304" i="1"/>
  <c r="P304" i="1"/>
  <c r="Q304" i="1"/>
  <c r="AJ311" i="1"/>
  <c r="Q327" i="1"/>
  <c r="O327" i="1"/>
  <c r="P327" i="1"/>
  <c r="BD281" i="1"/>
  <c r="BH281" i="1" s="1"/>
  <c r="BD217" i="1"/>
  <c r="AJ217" i="1"/>
  <c r="Q203" i="1"/>
  <c r="P203" i="1"/>
  <c r="O203" i="1"/>
  <c r="AR188" i="1"/>
  <c r="BB188" i="1" s="1"/>
  <c r="BA188" i="1"/>
  <c r="AH248" i="1"/>
  <c r="BE248" i="1"/>
  <c r="BF243" i="1"/>
  <c r="BH243" i="1" s="1"/>
  <c r="Q241" i="1"/>
  <c r="P241" i="1"/>
  <c r="O241" i="1"/>
  <c r="BD221" i="1"/>
  <c r="BH221" i="1" s="1"/>
  <c r="BD179" i="1"/>
  <c r="BH179" i="1" s="1"/>
  <c r="AJ179" i="1"/>
  <c r="O169" i="1"/>
  <c r="Q169" i="1"/>
  <c r="P169" i="1"/>
  <c r="Q89" i="1"/>
  <c r="P89" i="1"/>
  <c r="O89" i="1"/>
  <c r="P133" i="1"/>
  <c r="O133" i="1"/>
  <c r="Q133" i="1"/>
  <c r="BF58" i="1"/>
  <c r="BH58" i="1" s="1"/>
  <c r="AJ58" i="1"/>
  <c r="O80" i="1"/>
  <c r="Q80" i="1"/>
  <c r="P80" i="1"/>
  <c r="AJ83" i="1"/>
  <c r="BD83" i="1"/>
  <c r="BH83" i="1" s="1"/>
  <c r="BD143" i="1"/>
  <c r="BH143" i="1" s="1"/>
  <c r="AJ143" i="1"/>
  <c r="BG152" i="1"/>
  <c r="P42" i="1"/>
  <c r="O42" i="1"/>
  <c r="O144" i="1"/>
  <c r="P144" i="1"/>
  <c r="Q144" i="1"/>
  <c r="BD164" i="1"/>
  <c r="BB164" i="1"/>
  <c r="BH9" i="1"/>
  <c r="O21" i="1"/>
  <c r="Q21" i="1"/>
  <c r="P21" i="1"/>
  <c r="BB19" i="1"/>
  <c r="AJ65" i="1"/>
  <c r="BD65" i="1"/>
  <c r="BH65" i="1" s="1"/>
  <c r="Q346" i="1"/>
  <c r="P346" i="1"/>
  <c r="O346" i="1"/>
  <c r="Q301" i="1"/>
  <c r="O301" i="1"/>
  <c r="P301" i="1"/>
  <c r="O242" i="1"/>
  <c r="Q242" i="1"/>
  <c r="P242" i="1"/>
  <c r="BD153" i="1"/>
  <c r="BH153" i="1" s="1"/>
  <c r="AJ153" i="1"/>
  <c r="AJ85" i="1"/>
  <c r="BD85" i="1"/>
  <c r="BH85" i="1" s="1"/>
  <c r="O117" i="1"/>
  <c r="Q117" i="1"/>
  <c r="P117" i="1"/>
  <c r="AJ264" i="1"/>
  <c r="BD264" i="1"/>
  <c r="BH264" i="1" s="1"/>
  <c r="AJ162" i="1"/>
  <c r="BF162" i="1"/>
  <c r="AY7" i="1"/>
  <c r="P26" i="1"/>
  <c r="O26" i="1"/>
  <c r="Q26" i="1"/>
  <c r="Q267" i="1"/>
  <c r="O267" i="1"/>
  <c r="P267" i="1"/>
  <c r="BD257" i="1"/>
  <c r="BH257" i="1" s="1"/>
  <c r="BG250" i="1"/>
  <c r="BH191" i="1"/>
  <c r="O171" i="1"/>
  <c r="Q171" i="1"/>
  <c r="P171" i="1"/>
  <c r="O154" i="1"/>
  <c r="Q154" i="1"/>
  <c r="P154" i="1"/>
  <c r="Z158" i="1"/>
  <c r="AI158" i="1"/>
  <c r="BC158" i="1"/>
  <c r="BG109" i="1"/>
  <c r="AJ339" i="1"/>
  <c r="AJ350" i="1"/>
  <c r="BD329" i="1"/>
  <c r="BH329" i="1" s="1"/>
  <c r="AJ352" i="1"/>
  <c r="AJ327" i="1"/>
  <c r="BD327" i="1"/>
  <c r="BH327" i="1" s="1"/>
  <c r="BD268" i="1"/>
  <c r="BH268" i="1" s="1"/>
  <c r="BE278" i="1"/>
  <c r="AI278" i="1"/>
  <c r="AH278" i="1"/>
  <c r="BF278" i="1" s="1"/>
  <c r="BD272" i="1"/>
  <c r="BH272" i="1" s="1"/>
  <c r="BB261" i="1"/>
  <c r="BD276" i="1"/>
  <c r="BH276" i="1" s="1"/>
  <c r="BH266" i="1"/>
  <c r="AJ205" i="1"/>
  <c r="BD205" i="1"/>
  <c r="Q201" i="1"/>
  <c r="P201" i="1"/>
  <c r="O201" i="1"/>
  <c r="Q223" i="1"/>
  <c r="P223" i="1"/>
  <c r="O223" i="1"/>
  <c r="BD237" i="1"/>
  <c r="BH237" i="1" s="1"/>
  <c r="BD169" i="1"/>
  <c r="BH169" i="1" s="1"/>
  <c r="AJ169" i="1"/>
  <c r="BD133" i="1"/>
  <c r="BH133" i="1" s="1"/>
  <c r="AJ133" i="1"/>
  <c r="BF55" i="1"/>
  <c r="BH55" i="1" s="1"/>
  <c r="AJ55" i="1"/>
  <c r="BD125" i="1"/>
  <c r="BH125" i="1" s="1"/>
  <c r="BB125" i="1"/>
  <c r="BD80" i="1"/>
  <c r="BH80" i="1" s="1"/>
  <c r="AJ80" i="1"/>
  <c r="BB64" i="1"/>
  <c r="BD64" i="1"/>
  <c r="BH64" i="1" s="1"/>
  <c r="BG151" i="1"/>
  <c r="BD99" i="1"/>
  <c r="BH99" i="1" s="1"/>
  <c r="AJ99" i="1"/>
  <c r="Q41" i="1"/>
  <c r="P41" i="1"/>
  <c r="O41" i="1"/>
  <c r="Q56" i="1"/>
  <c r="P56" i="1"/>
  <c r="O56" i="1"/>
  <c r="Q112" i="1"/>
  <c r="P112" i="1"/>
  <c r="O112" i="1"/>
  <c r="BD63" i="1"/>
  <c r="BD20" i="1"/>
  <c r="BH20" i="1" s="1"/>
  <c r="AJ20" i="1"/>
  <c r="AJ60" i="1"/>
  <c r="BH19" i="1"/>
  <c r="O76" i="1"/>
  <c r="Q76" i="1"/>
  <c r="P76" i="1"/>
  <c r="BG273" i="1"/>
  <c r="BG262" i="1"/>
  <c r="BB274" i="1"/>
  <c r="BD274" i="1"/>
  <c r="BH274" i="1" s="1"/>
  <c r="Q199" i="1"/>
  <c r="P199" i="1"/>
  <c r="O199" i="1"/>
  <c r="BB231" i="1"/>
  <c r="AJ166" i="1"/>
  <c r="BF166" i="1"/>
  <c r="O167" i="1"/>
  <c r="Q167" i="1"/>
  <c r="P167" i="1"/>
  <c r="O175" i="1"/>
  <c r="Q175" i="1"/>
  <c r="P175" i="1"/>
  <c r="BH195" i="1"/>
  <c r="AJ232" i="1"/>
  <c r="Q170" i="1"/>
  <c r="P170" i="1"/>
  <c r="O170" i="1"/>
  <c r="AJ79" i="1"/>
  <c r="BD79" i="1"/>
  <c r="BH79" i="1" s="1"/>
  <c r="BG82" i="1"/>
  <c r="BD135" i="1"/>
  <c r="BH135" i="1" s="1"/>
  <c r="AJ135" i="1"/>
  <c r="BD151" i="1"/>
  <c r="BH151" i="1" s="1"/>
  <c r="AJ151" i="1"/>
  <c r="BG67" i="1"/>
  <c r="BF45" i="1"/>
  <c r="BH45" i="1" s="1"/>
  <c r="AJ45" i="1"/>
  <c r="P129" i="1"/>
  <c r="O129" i="1"/>
  <c r="Q129" i="1"/>
  <c r="BD144" i="1"/>
  <c r="BH144" i="1" s="1"/>
  <c r="AJ42" i="1"/>
  <c r="BD42" i="1"/>
  <c r="BH42" i="1" s="1"/>
  <c r="AI38" i="1"/>
  <c r="BC38" i="1"/>
  <c r="BG38" i="1" s="1"/>
  <c r="Z38" i="1"/>
  <c r="BD60" i="1"/>
  <c r="BH60" i="1" s="1"/>
  <c r="BD33" i="1"/>
  <c r="BH33" i="1" s="1"/>
  <c r="AJ30" i="1"/>
  <c r="BD240" i="1"/>
  <c r="BH240" i="1" s="1"/>
  <c r="AJ240" i="1"/>
  <c r="Q45" i="1"/>
  <c r="P45" i="1"/>
  <c r="O45" i="1"/>
  <c r="O322" i="1"/>
  <c r="P322" i="1"/>
  <c r="BD173" i="1"/>
  <c r="BH173" i="1" s="1"/>
  <c r="AJ173" i="1"/>
  <c r="AJ188" i="1"/>
  <c r="Q328" i="1"/>
  <c r="O328" i="1"/>
  <c r="P328" i="1"/>
  <c r="Q348" i="1"/>
  <c r="P348" i="1"/>
  <c r="O348" i="1"/>
  <c r="BD297" i="1"/>
  <c r="BH297" i="1" s="1"/>
  <c r="AJ297" i="1"/>
  <c r="AJ354" i="1"/>
  <c r="Q317" i="1"/>
  <c r="O317" i="1"/>
  <c r="P317" i="1"/>
  <c r="BH345" i="1"/>
  <c r="BD295" i="1"/>
  <c r="BH295" i="1" s="1"/>
  <c r="AJ295" i="1"/>
  <c r="AJ356" i="1"/>
  <c r="BF353" i="1"/>
  <c r="AJ353" i="1"/>
  <c r="Q310" i="1"/>
  <c r="O310" i="1"/>
  <c r="P310" i="1"/>
  <c r="Q314" i="1"/>
  <c r="O314" i="1"/>
  <c r="P314" i="1"/>
  <c r="BH275" i="1"/>
  <c r="BD278" i="1"/>
  <c r="BD239" i="1"/>
  <c r="BH239" i="1" s="1"/>
  <c r="BB239" i="1"/>
  <c r="P243" i="1"/>
  <c r="O243" i="1"/>
  <c r="Q243" i="1"/>
  <c r="BD204" i="1"/>
  <c r="BH204" i="1" s="1"/>
  <c r="AJ204" i="1"/>
  <c r="P178" i="1"/>
  <c r="Q178" i="1"/>
  <c r="BD212" i="1"/>
  <c r="BH212" i="1" s="1"/>
  <c r="AJ212" i="1"/>
  <c r="BD167" i="1"/>
  <c r="BH167" i="1" s="1"/>
  <c r="AJ167" i="1"/>
  <c r="BD175" i="1"/>
  <c r="BH175" i="1" s="1"/>
  <c r="AJ175" i="1"/>
  <c r="BD232" i="1"/>
  <c r="BH232" i="1" s="1"/>
  <c r="AJ181" i="1"/>
  <c r="BD181" i="1"/>
  <c r="BH181" i="1" s="1"/>
  <c r="BD126" i="1"/>
  <c r="BH126" i="1" s="1"/>
  <c r="AJ126" i="1"/>
  <c r="AJ155" i="1"/>
  <c r="BD155" i="1"/>
  <c r="BH155" i="1" s="1"/>
  <c r="BF67" i="1"/>
  <c r="BH67" i="1" s="1"/>
  <c r="AJ67" i="1"/>
  <c r="BD127" i="1"/>
  <c r="BH127" i="1" s="1"/>
  <c r="AJ127" i="1"/>
  <c r="BD121" i="1"/>
  <c r="BH121" i="1" s="1"/>
  <c r="AJ121" i="1"/>
  <c r="Q235" i="1"/>
  <c r="P235" i="1"/>
  <c r="O235" i="1"/>
  <c r="BH140" i="1"/>
  <c r="BD82" i="1"/>
  <c r="BH82" i="1" s="1"/>
  <c r="AJ82" i="1"/>
  <c r="Q130" i="1"/>
  <c r="P130" i="1"/>
  <c r="O130" i="1"/>
  <c r="AJ136" i="1"/>
  <c r="BD136" i="1"/>
  <c r="BH136" i="1" s="1"/>
  <c r="Q134" i="1"/>
  <c r="P134" i="1"/>
  <c r="O134" i="1"/>
  <c r="BF47" i="1"/>
  <c r="AJ47" i="1"/>
  <c r="BG157" i="1"/>
  <c r="BD129" i="1"/>
  <c r="BH129" i="1" s="1"/>
  <c r="AJ129" i="1"/>
  <c r="Q50" i="1"/>
  <c r="P50" i="1"/>
  <c r="O50" i="1"/>
  <c r="AJ144" i="1"/>
  <c r="BD37" i="1"/>
  <c r="BH37" i="1" s="1"/>
  <c r="BD30" i="1"/>
  <c r="BH30" i="1" s="1"/>
  <c r="BD314" i="1"/>
  <c r="BH314" i="1" s="1"/>
  <c r="AJ314" i="1"/>
  <c r="AJ340" i="1"/>
  <c r="BD340" i="1"/>
  <c r="BH340" i="1" s="1"/>
  <c r="BH231" i="1"/>
  <c r="AJ93" i="1"/>
  <c r="BD93" i="1"/>
  <c r="BH93" i="1" s="1"/>
  <c r="Q114" i="1"/>
  <c r="P114" i="1"/>
  <c r="O114" i="1"/>
  <c r="BD113" i="1"/>
  <c r="BH113" i="1" s="1"/>
  <c r="AJ113" i="1"/>
  <c r="Q162" i="1"/>
  <c r="P162" i="1"/>
  <c r="O162" i="1"/>
  <c r="O74" i="1"/>
  <c r="Q74" i="1"/>
  <c r="P74" i="1"/>
  <c r="P10" i="1"/>
  <c r="O10" i="1"/>
  <c r="Q10" i="1"/>
  <c r="AJ275" i="1"/>
  <c r="BG278" i="1"/>
  <c r="BH321" i="1"/>
  <c r="Q352" i="1"/>
  <c r="P352" i="1"/>
  <c r="O352" i="1"/>
  <c r="Q321" i="1"/>
  <c r="O321" i="1"/>
  <c r="P321" i="1"/>
  <c r="BD293" i="1"/>
  <c r="BH293" i="1" s="1"/>
  <c r="AJ293" i="1"/>
  <c r="AJ342" i="1"/>
  <c r="Q264" i="1"/>
  <c r="O264" i="1"/>
  <c r="P264" i="1"/>
  <c r="BG259" i="1"/>
  <c r="BF216" i="1"/>
  <c r="AJ216" i="1"/>
  <c r="AJ189" i="1"/>
  <c r="BD202" i="1"/>
  <c r="BH202" i="1" s="1"/>
  <c r="AJ202" i="1"/>
  <c r="O231" i="1"/>
  <c r="Q231" i="1"/>
  <c r="P231" i="1"/>
  <c r="AJ164" i="1"/>
  <c r="BF164" i="1"/>
  <c r="BD219" i="1"/>
  <c r="BH219" i="1" s="1"/>
  <c r="AJ134" i="1"/>
  <c r="BD134" i="1"/>
  <c r="BH134" i="1" s="1"/>
  <c r="AJ177" i="1"/>
  <c r="BD218" i="1"/>
  <c r="BH218" i="1" s="1"/>
  <c r="AJ218" i="1"/>
  <c r="Q120" i="1"/>
  <c r="P120" i="1"/>
  <c r="O120" i="1"/>
  <c r="BF63" i="1"/>
  <c r="AJ63" i="1"/>
  <c r="BD115" i="1"/>
  <c r="AJ115" i="1"/>
  <c r="BD145" i="1"/>
  <c r="BH145" i="1" s="1"/>
  <c r="AJ145" i="1"/>
  <c r="BD106" i="1"/>
  <c r="BH106" i="1" s="1"/>
  <c r="BB106" i="1"/>
  <c r="AJ140" i="1"/>
  <c r="O78" i="1"/>
  <c r="Q78" i="1"/>
  <c r="P78" i="1"/>
  <c r="AJ87" i="1"/>
  <c r="BD87" i="1"/>
  <c r="BH87" i="1" s="1"/>
  <c r="BD157" i="1"/>
  <c r="BH157" i="1" s="1"/>
  <c r="AJ157" i="1"/>
  <c r="BH172" i="1"/>
  <c r="Q49" i="1"/>
  <c r="P49" i="1"/>
  <c r="O49" i="1"/>
  <c r="BG225" i="1"/>
  <c r="P18" i="1"/>
  <c r="O18" i="1"/>
  <c r="Q18" i="1"/>
  <c r="AJ64" i="1"/>
  <c r="BG47" i="1"/>
  <c r="BB17" i="1"/>
  <c r="BF49" i="1"/>
  <c r="BH49" i="1" s="1"/>
  <c r="AJ49" i="1"/>
  <c r="AJ16" i="1"/>
  <c r="BD165" i="1"/>
  <c r="BH165" i="1" s="1"/>
  <c r="AJ165" i="1"/>
  <c r="AJ262" i="1"/>
  <c r="BD262" i="1"/>
  <c r="BH262" i="1" s="1"/>
  <c r="AJ317" i="1"/>
  <c r="BD12" i="1"/>
  <c r="BH12" i="1" s="1"/>
  <c r="AJ12" i="1"/>
  <c r="O300" i="1"/>
  <c r="Q300" i="1"/>
  <c r="P300" i="1"/>
  <c r="BF347" i="1"/>
  <c r="AJ347" i="1"/>
  <c r="O311" i="1"/>
  <c r="P311" i="1"/>
  <c r="Q311" i="1"/>
  <c r="AJ358" i="1"/>
  <c r="AJ303" i="1"/>
  <c r="BD303" i="1"/>
  <c r="BH303" i="1" s="1"/>
  <c r="Q330" i="1"/>
  <c r="O330" i="1"/>
  <c r="P330" i="1"/>
  <c r="BD291" i="1"/>
  <c r="BH291" i="1" s="1"/>
  <c r="AJ291" i="1"/>
  <c r="BG308" i="1"/>
  <c r="AJ256" i="1"/>
  <c r="BD256" i="1"/>
  <c r="BH256" i="1" s="1"/>
  <c r="AJ270" i="1"/>
  <c r="BD259" i="1"/>
  <c r="BH259" i="1" s="1"/>
  <c r="AJ259" i="1"/>
  <c r="BF214" i="1"/>
  <c r="BH214" i="1" s="1"/>
  <c r="AJ214" i="1"/>
  <c r="BD200" i="1"/>
  <c r="BH200" i="1" s="1"/>
  <c r="AJ200" i="1"/>
  <c r="BD230" i="1"/>
  <c r="O212" i="1"/>
  <c r="Q212" i="1"/>
  <c r="P212" i="1"/>
  <c r="BG219" i="1"/>
  <c r="AJ219" i="1"/>
  <c r="BD149" i="1"/>
  <c r="BH149" i="1" s="1"/>
  <c r="BD226" i="1"/>
  <c r="BH226" i="1" s="1"/>
  <c r="AJ132" i="1"/>
  <c r="BD132" i="1"/>
  <c r="BH146" i="1"/>
  <c r="BF196" i="1"/>
  <c r="BH196" i="1" s="1"/>
  <c r="AJ196" i="1"/>
  <c r="O101" i="1"/>
  <c r="Q101" i="1"/>
  <c r="P101" i="1"/>
  <c r="BH142" i="1"/>
  <c r="BH193" i="1"/>
  <c r="Q104" i="1"/>
  <c r="P104" i="1"/>
  <c r="O104" i="1"/>
  <c r="BH70" i="1"/>
  <c r="BD78" i="1"/>
  <c r="BH78" i="1" s="1"/>
  <c r="AJ78" i="1"/>
  <c r="BH160" i="1"/>
  <c r="Q51" i="1"/>
  <c r="P51" i="1"/>
  <c r="O51" i="1"/>
  <c r="BG116" i="1"/>
  <c r="BG138" i="1"/>
  <c r="P14" i="1"/>
  <c r="O14" i="1"/>
  <c r="Q14" i="1"/>
  <c r="AJ54" i="1"/>
  <c r="BD47" i="1"/>
  <c r="BB47" i="1"/>
  <c r="BH17" i="1"/>
  <c r="O17" i="1"/>
  <c r="Q17" i="1"/>
  <c r="P17" i="1"/>
  <c r="BF8" i="1"/>
  <c r="P12" i="1"/>
  <c r="O12" i="1"/>
  <c r="Q12" i="1"/>
  <c r="BH16" i="1"/>
  <c r="BD183" i="1"/>
  <c r="BH183" i="1" s="1"/>
  <c r="AJ183" i="1"/>
  <c r="Q23" i="1"/>
  <c r="P23" i="1"/>
  <c r="O23" i="1"/>
  <c r="Q254" i="1"/>
  <c r="P254" i="1"/>
  <c r="O254" i="1"/>
  <c r="AJ294" i="1"/>
  <c r="BF294" i="1"/>
  <c r="BH294" i="1" s="1"/>
  <c r="P341" i="1"/>
  <c r="O341" i="1"/>
  <c r="Q341" i="1"/>
  <c r="BH300" i="1"/>
  <c r="BD289" i="1"/>
  <c r="BH289" i="1" s="1"/>
  <c r="AJ289" i="1"/>
  <c r="Q347" i="1"/>
  <c r="P347" i="1"/>
  <c r="O347" i="1"/>
  <c r="BG338" i="1"/>
  <c r="AJ273" i="1"/>
  <c r="BD273" i="1"/>
  <c r="BH273" i="1" s="1"/>
  <c r="BH242" i="1"/>
  <c r="BD152" i="1"/>
  <c r="BH152" i="1" s="1"/>
  <c r="O232" i="1"/>
  <c r="Q232" i="1"/>
  <c r="P232" i="1"/>
  <c r="BH347" i="1"/>
  <c r="Q326" i="1"/>
  <c r="O326" i="1"/>
  <c r="P326" i="1"/>
  <c r="BD308" i="1"/>
  <c r="BH308" i="1" s="1"/>
  <c r="AJ308" i="1"/>
  <c r="Q266" i="1"/>
  <c r="O266" i="1"/>
  <c r="P266" i="1"/>
  <c r="AJ258" i="1"/>
  <c r="BD258" i="1"/>
  <c r="BH258" i="1" s="1"/>
  <c r="Q261" i="1"/>
  <c r="O261" i="1"/>
  <c r="P261" i="1"/>
  <c r="BD198" i="1"/>
  <c r="BH198" i="1" s="1"/>
  <c r="AJ198" i="1"/>
  <c r="Q211" i="1"/>
  <c r="P211" i="1"/>
  <c r="O211" i="1"/>
  <c r="Q252" i="1"/>
  <c r="P252" i="1"/>
  <c r="O252" i="1"/>
  <c r="AJ130" i="1"/>
  <c r="BD130" i="1"/>
  <c r="BH130" i="1" s="1"/>
  <c r="O99" i="1"/>
  <c r="Q99" i="1"/>
  <c r="P99" i="1"/>
  <c r="AJ142" i="1"/>
  <c r="Q181" i="1"/>
  <c r="P181" i="1"/>
  <c r="O181" i="1"/>
  <c r="AJ193" i="1"/>
  <c r="Q102" i="1"/>
  <c r="P102" i="1"/>
  <c r="O102" i="1"/>
  <c r="BD108" i="1"/>
  <c r="BH108" i="1" s="1"/>
  <c r="BB108" i="1"/>
  <c r="AJ77" i="1"/>
  <c r="BD77" i="1"/>
  <c r="BH77" i="1" s="1"/>
  <c r="BG86" i="1"/>
  <c r="Q110" i="1"/>
  <c r="P110" i="1"/>
  <c r="O110" i="1"/>
  <c r="BF132" i="1"/>
  <c r="BB132" i="1"/>
  <c r="P28" i="1"/>
  <c r="O28" i="1"/>
  <c r="Q28" i="1"/>
  <c r="P24" i="1"/>
  <c r="O24" i="1"/>
  <c r="Q24" i="1"/>
  <c r="Q27" i="1"/>
  <c r="P27" i="1"/>
  <c r="O27" i="1"/>
  <c r="AR8" i="1"/>
  <c r="AQ7" i="1"/>
  <c r="BA8" i="1"/>
  <c r="BA7" i="1" s="1"/>
  <c r="BH302" i="1"/>
  <c r="Q329" i="1"/>
  <c r="O329" i="1"/>
  <c r="P329" i="1"/>
  <c r="Q345" i="1"/>
  <c r="P345" i="1"/>
  <c r="O345" i="1"/>
  <c r="BH356" i="1"/>
  <c r="O302" i="1"/>
  <c r="Q302" i="1"/>
  <c r="P302" i="1"/>
  <c r="Q349" i="1"/>
  <c r="P349" i="1"/>
  <c r="O349" i="1"/>
  <c r="BD287" i="1"/>
  <c r="BH287" i="1" s="1"/>
  <c r="AJ287" i="1"/>
  <c r="AJ338" i="1"/>
  <c r="BG344" i="1"/>
  <c r="Q299" i="1"/>
  <c r="P299" i="1"/>
  <c r="O299" i="1"/>
  <c r="BD236" i="1"/>
  <c r="BH236" i="1" s="1"/>
  <c r="BD255" i="1"/>
  <c r="BH255" i="1" s="1"/>
  <c r="AJ255" i="1"/>
  <c r="BD261" i="1"/>
  <c r="BH261" i="1" s="1"/>
  <c r="AJ261" i="1"/>
  <c r="BF230" i="1"/>
  <c r="AJ230" i="1"/>
  <c r="BD250" i="1"/>
  <c r="BH250" i="1" s="1"/>
  <c r="BB250" i="1"/>
  <c r="O221" i="1"/>
  <c r="Q221" i="1"/>
  <c r="P221" i="1"/>
  <c r="AJ211" i="1"/>
  <c r="BD211" i="1"/>
  <c r="BH211" i="1" s="1"/>
  <c r="BG210" i="1"/>
  <c r="BD148" i="1"/>
  <c r="BH148" i="1" s="1"/>
  <c r="BG216" i="1"/>
  <c r="AJ124" i="1"/>
  <c r="BD124" i="1"/>
  <c r="BH124" i="1" s="1"/>
  <c r="P196" i="1"/>
  <c r="O196" i="1"/>
  <c r="Q196" i="1"/>
  <c r="P190" i="1"/>
  <c r="O190" i="1"/>
  <c r="Q190" i="1"/>
  <c r="Q100" i="1"/>
  <c r="P100" i="1"/>
  <c r="O100" i="1"/>
  <c r="BD128" i="1"/>
  <c r="AJ128" i="1"/>
  <c r="O237" i="1"/>
  <c r="P237" i="1"/>
  <c r="Q237" i="1"/>
  <c r="BD86" i="1"/>
  <c r="BH86" i="1" s="1"/>
  <c r="AJ86" i="1"/>
  <c r="O149" i="1"/>
  <c r="Q149" i="1"/>
  <c r="P149" i="1"/>
  <c r="O142" i="1"/>
  <c r="Q142" i="1"/>
  <c r="P142" i="1"/>
  <c r="O107" i="1"/>
  <c r="Q107" i="1"/>
  <c r="P107" i="1"/>
  <c r="P91" i="1"/>
  <c r="Q91" i="1"/>
  <c r="O91" i="1"/>
  <c r="BD118" i="1"/>
  <c r="BH118" i="1" s="1"/>
  <c r="BB118" i="1"/>
  <c r="P40" i="1"/>
  <c r="O40" i="1"/>
  <c r="Q40" i="1"/>
  <c r="BH29" i="1"/>
  <c r="BH32" i="1"/>
  <c r="AJ68" i="1"/>
  <c r="BD68" i="1"/>
  <c r="BH68" i="1" s="1"/>
  <c r="BH40" i="1"/>
  <c r="BD141" i="1"/>
  <c r="BH141" i="1" s="1"/>
  <c r="AJ141" i="1"/>
  <c r="BG358" i="1"/>
  <c r="BH357" i="1"/>
  <c r="BD285" i="1"/>
  <c r="AJ285" i="1"/>
  <c r="O283" i="1"/>
  <c r="P283" i="1"/>
  <c r="Q283" i="1"/>
  <c r="AJ344" i="1"/>
  <c r="BD344" i="1"/>
  <c r="BH344" i="1" s="1"/>
  <c r="O255" i="1"/>
  <c r="Q255" i="1"/>
  <c r="P255" i="1"/>
  <c r="O238" i="1"/>
  <c r="Q238" i="1"/>
  <c r="P238" i="1"/>
  <c r="O236" i="1"/>
  <c r="Q236" i="1"/>
  <c r="P236" i="1"/>
  <c r="AJ207" i="1"/>
  <c r="BD207" i="1"/>
  <c r="BH207" i="1" s="1"/>
  <c r="BH138" i="1"/>
  <c r="Q209" i="1"/>
  <c r="P209" i="1"/>
  <c r="O209" i="1"/>
  <c r="BD95" i="1"/>
  <c r="BH95" i="1" s="1"/>
  <c r="AJ95" i="1"/>
  <c r="BG215" i="1"/>
  <c r="AJ97" i="1"/>
  <c r="BD97" i="1"/>
  <c r="BH97" i="1" s="1"/>
  <c r="Q106" i="1"/>
  <c r="P106" i="1"/>
  <c r="O106" i="1"/>
  <c r="BD156" i="1"/>
  <c r="BH156" i="1" s="1"/>
  <c r="AJ156" i="1"/>
  <c r="O115" i="1"/>
  <c r="Q115" i="1"/>
  <c r="P115" i="1"/>
  <c r="O72" i="1"/>
  <c r="AJ89" i="1"/>
  <c r="BD89" i="1"/>
  <c r="BH89" i="1" s="1"/>
  <c r="BF43" i="1"/>
  <c r="BH43" i="1" s="1"/>
  <c r="AJ43" i="1"/>
  <c r="AJ91" i="1"/>
  <c r="BD91" i="1"/>
  <c r="BH91" i="1" s="1"/>
  <c r="O25" i="1"/>
  <c r="Q25" i="1"/>
  <c r="P25" i="1"/>
  <c r="BH353" i="1"/>
  <c r="BD312" i="1"/>
  <c r="BH312" i="1" s="1"/>
  <c r="AJ312" i="1"/>
  <c r="Q356" i="1"/>
  <c r="P356" i="1"/>
  <c r="O356" i="1"/>
  <c r="BF267" i="1"/>
  <c r="BH267" i="1" s="1"/>
  <c r="BD210" i="1"/>
  <c r="BH210" i="1" s="1"/>
  <c r="BD110" i="1"/>
  <c r="BH110" i="1" s="1"/>
  <c r="BB110" i="1"/>
  <c r="BD190" i="1"/>
  <c r="BH190" i="1" s="1"/>
  <c r="AJ190" i="1"/>
  <c r="O315" i="1"/>
  <c r="Q315" i="1"/>
  <c r="P315" i="1"/>
  <c r="BD365" i="1"/>
  <c r="BH365" i="1" s="1"/>
  <c r="BB365" i="1"/>
  <c r="AJ360" i="1"/>
  <c r="BD360" i="1"/>
  <c r="BH360" i="1" s="1"/>
  <c r="Q355" i="1"/>
  <c r="P355" i="1"/>
  <c r="O355" i="1"/>
  <c r="O313" i="1"/>
  <c r="Q313" i="1"/>
  <c r="P313" i="1"/>
  <c r="BD316" i="1"/>
  <c r="BH316" i="1" s="1"/>
  <c r="AJ316" i="1"/>
  <c r="BD283" i="1"/>
  <c r="BH283" i="1" s="1"/>
  <c r="AJ283" i="1"/>
  <c r="AJ299" i="1"/>
  <c r="Q258" i="1"/>
  <c r="P258" i="1"/>
  <c r="O258" i="1"/>
  <c r="Q205" i="1"/>
  <c r="P205" i="1"/>
  <c r="O205" i="1"/>
  <c r="BF192" i="1"/>
  <c r="BH192" i="1" s="1"/>
  <c r="AJ192" i="1"/>
  <c r="Q197" i="1"/>
  <c r="P197" i="1"/>
  <c r="O197" i="1"/>
  <c r="Q174" i="1"/>
  <c r="P174" i="1"/>
  <c r="O174" i="1"/>
  <c r="BD122" i="1"/>
  <c r="BH122" i="1" s="1"/>
  <c r="BB122" i="1"/>
  <c r="AH158" i="1"/>
  <c r="BF158" i="1" s="1"/>
  <c r="BE158" i="1"/>
  <c r="Q176" i="1"/>
  <c r="P176" i="1"/>
  <c r="O176" i="1"/>
  <c r="O113" i="1"/>
  <c r="Q113" i="1"/>
  <c r="P113" i="1"/>
  <c r="P92" i="1"/>
  <c r="O92" i="1"/>
  <c r="Q92" i="1"/>
  <c r="BD109" i="1"/>
  <c r="BH109" i="1" s="1"/>
  <c r="AJ109" i="1"/>
  <c r="BB98" i="1"/>
  <c r="BH56" i="1"/>
  <c r="BD22" i="1"/>
  <c r="BH22" i="1" s="1"/>
  <c r="AJ22" i="1"/>
  <c r="P20" i="1"/>
  <c r="O20" i="1"/>
  <c r="Q20" i="1"/>
  <c r="BF56" i="1"/>
  <c r="AJ56" i="1"/>
  <c r="BH323" i="1"/>
  <c r="BH299" i="1"/>
  <c r="BH342" i="1"/>
  <c r="BF359" i="1"/>
  <c r="BH359" i="1" s="1"/>
  <c r="AJ359" i="1"/>
  <c r="BH315" i="1"/>
  <c r="Q323" i="1"/>
  <c r="O323" i="1"/>
  <c r="P323" i="1"/>
  <c r="AJ260" i="1"/>
  <c r="BG256" i="1"/>
  <c r="BB298" i="1"/>
  <c r="BH284" i="1"/>
  <c r="BD234" i="1"/>
  <c r="BH234" i="1" s="1"/>
  <c r="AJ234" i="1"/>
  <c r="Q227" i="1"/>
  <c r="P227" i="1"/>
  <c r="O227" i="1"/>
  <c r="BG184" i="1"/>
  <c r="O226" i="1"/>
  <c r="P226" i="1"/>
  <c r="Q226" i="1"/>
  <c r="O105" i="1"/>
  <c r="Q105" i="1"/>
  <c r="P105" i="1"/>
  <c r="BH178" i="1"/>
  <c r="BG73" i="1"/>
  <c r="Q108" i="1"/>
  <c r="P108" i="1"/>
  <c r="O108" i="1"/>
  <c r="BD187" i="1"/>
  <c r="BH187" i="1" s="1"/>
  <c r="AJ187" i="1"/>
  <c r="BD105" i="1"/>
  <c r="BH105" i="1" s="1"/>
  <c r="AJ105" i="1"/>
  <c r="P88" i="1"/>
  <c r="O88" i="1"/>
  <c r="Q88" i="1"/>
  <c r="BD92" i="1"/>
  <c r="BH92" i="1" s="1"/>
  <c r="AJ92" i="1"/>
  <c r="BB209" i="1"/>
  <c r="BH73" i="1"/>
  <c r="BG164" i="1"/>
  <c r="BG118" i="1"/>
  <c r="BH24" i="1"/>
  <c r="O13" i="1"/>
  <c r="Q13" i="1"/>
  <c r="P13" i="1"/>
  <c r="AJ14" i="1"/>
  <c r="Q360" i="1"/>
  <c r="P360" i="1"/>
  <c r="O360" i="1"/>
  <c r="BD298" i="1"/>
  <c r="BH298" i="1" s="1"/>
  <c r="AJ298" i="1"/>
  <c r="Q342" i="1"/>
  <c r="P342" i="1"/>
  <c r="O342" i="1"/>
  <c r="BD271" i="1"/>
  <c r="BH271" i="1" s="1"/>
  <c r="BG340" i="1"/>
  <c r="AJ284" i="1"/>
  <c r="BD228" i="1"/>
  <c r="BH228" i="1" s="1"/>
  <c r="AJ228" i="1"/>
  <c r="AJ220" i="1"/>
  <c r="Q183" i="1"/>
  <c r="P183" i="1"/>
  <c r="O183" i="1"/>
  <c r="BF206" i="1"/>
  <c r="BH206" i="1" s="1"/>
  <c r="AJ206" i="1"/>
  <c r="P207" i="1"/>
  <c r="Q207" i="1"/>
  <c r="O207" i="1"/>
  <c r="O165" i="1"/>
  <c r="Q165" i="1"/>
  <c r="P165" i="1"/>
  <c r="Q180" i="1"/>
  <c r="P180" i="1"/>
  <c r="O180" i="1"/>
  <c r="BD244" i="1"/>
  <c r="BH244" i="1" s="1"/>
  <c r="O103" i="1"/>
  <c r="Q103" i="1"/>
  <c r="P103" i="1"/>
  <c r="O153" i="1"/>
  <c r="Q153" i="1"/>
  <c r="P153" i="1"/>
  <c r="AZ98" i="1"/>
  <c r="BF98" i="1" s="1"/>
  <c r="BE98" i="1"/>
  <c r="BD162" i="1"/>
  <c r="BH162" i="1" s="1"/>
  <c r="BB162" i="1"/>
  <c r="BD103" i="1"/>
  <c r="BH103" i="1" s="1"/>
  <c r="AJ103" i="1"/>
  <c r="BD88" i="1"/>
  <c r="BH88" i="1" s="1"/>
  <c r="AJ88" i="1"/>
  <c r="Q168" i="1"/>
  <c r="P168" i="1"/>
  <c r="O168" i="1"/>
  <c r="O93" i="1"/>
  <c r="Q93" i="1"/>
  <c r="P93" i="1"/>
  <c r="BF51" i="1"/>
  <c r="BH51" i="1" s="1"/>
  <c r="AJ51" i="1"/>
  <c r="O141" i="1"/>
  <c r="P141" i="1"/>
  <c r="Q141" i="1"/>
  <c r="BD34" i="1"/>
  <c r="BH34" i="1" s="1"/>
  <c r="AJ34" i="1"/>
  <c r="Q9" i="1"/>
  <c r="P9" i="1"/>
  <c r="O9" i="1"/>
  <c r="BF50" i="1"/>
  <c r="BH50" i="1" s="1"/>
  <c r="AJ50" i="1"/>
  <c r="AJ278" i="1" l="1"/>
  <c r="BE7" i="1"/>
  <c r="P230" i="1"/>
  <c r="BH278" i="1"/>
  <c r="O224" i="1"/>
  <c r="Q224" i="1"/>
  <c r="P224" i="1"/>
  <c r="Q230" i="1"/>
  <c r="P204" i="1"/>
  <c r="O204" i="1"/>
  <c r="Q204" i="1"/>
  <c r="P44" i="1"/>
  <c r="Q44" i="1"/>
  <c r="O44" i="1"/>
  <c r="BH217" i="1"/>
  <c r="O119" i="1"/>
  <c r="Q119" i="1"/>
  <c r="P119" i="1"/>
  <c r="AI7" i="1"/>
  <c r="O77" i="1"/>
  <c r="Q77" i="1"/>
  <c r="P77" i="1"/>
  <c r="O54" i="1"/>
  <c r="Q54" i="1"/>
  <c r="P54" i="1"/>
  <c r="BH166" i="1"/>
  <c r="Q173" i="1"/>
  <c r="O148" i="1"/>
  <c r="Q148" i="1"/>
  <c r="P148" i="1"/>
  <c r="Q83" i="1"/>
  <c r="P83" i="1"/>
  <c r="O83" i="1"/>
  <c r="BF38" i="1"/>
  <c r="Q324" i="1"/>
  <c r="O324" i="1"/>
  <c r="P324" i="1"/>
  <c r="O123" i="1"/>
  <c r="Q123" i="1"/>
  <c r="P123" i="1"/>
  <c r="BH247" i="1"/>
  <c r="P72" i="1"/>
  <c r="Q122" i="1"/>
  <c r="P122" i="1"/>
  <c r="O122" i="1"/>
  <c r="BH132" i="1"/>
  <c r="AH7" i="1"/>
  <c r="BH63" i="1"/>
  <c r="BH205" i="1"/>
  <c r="P280" i="1"/>
  <c r="O280" i="1"/>
  <c r="Q280" i="1"/>
  <c r="BD188" i="1"/>
  <c r="BH188" i="1" s="1"/>
  <c r="BH285" i="1"/>
  <c r="BH128" i="1"/>
  <c r="BH115" i="1"/>
  <c r="O210" i="1"/>
  <c r="Q210" i="1"/>
  <c r="P210" i="1"/>
  <c r="Q184" i="1"/>
  <c r="P184" i="1"/>
  <c r="O184" i="1"/>
  <c r="Q344" i="1"/>
  <c r="P344" i="1"/>
  <c r="O344" i="1"/>
  <c r="Q219" i="1"/>
  <c r="P219" i="1"/>
  <c r="O219" i="1"/>
  <c r="BG158" i="1"/>
  <c r="BH164" i="1"/>
  <c r="O225" i="1"/>
  <c r="Q225" i="1"/>
  <c r="P225" i="1"/>
  <c r="BD38" i="1"/>
  <c r="BH38" i="1" s="1"/>
  <c r="AJ38" i="1"/>
  <c r="Q358" i="1"/>
  <c r="P358" i="1"/>
  <c r="O358" i="1"/>
  <c r="BD338" i="1"/>
  <c r="BH338" i="1" s="1"/>
  <c r="BG98" i="1"/>
  <c r="P82" i="1"/>
  <c r="O82" i="1"/>
  <c r="Q82" i="1"/>
  <c r="BH47" i="1"/>
  <c r="AJ158" i="1"/>
  <c r="BD158" i="1"/>
  <c r="BH158" i="1" s="1"/>
  <c r="BF248" i="1"/>
  <c r="BH248" i="1" s="1"/>
  <c r="AJ248" i="1"/>
  <c r="O109" i="1"/>
  <c r="Q109" i="1"/>
  <c r="P109" i="1"/>
  <c r="BH98" i="1"/>
  <c r="BH216" i="1"/>
  <c r="AZ7" i="1"/>
  <c r="P86" i="1"/>
  <c r="O86" i="1"/>
  <c r="Q86" i="1"/>
  <c r="BH230" i="1"/>
  <c r="Q262" i="1"/>
  <c r="O262" i="1"/>
  <c r="P262" i="1"/>
  <c r="AR7" i="1"/>
  <c r="BB8" i="1"/>
  <c r="BB7" i="1" s="1"/>
  <c r="Q215" i="1"/>
  <c r="P215" i="1"/>
  <c r="O215" i="1"/>
  <c r="O138" i="1"/>
  <c r="Q138" i="1"/>
  <c r="P138" i="1"/>
  <c r="Q259" i="1"/>
  <c r="O259" i="1"/>
  <c r="P259" i="1"/>
  <c r="O152" i="1"/>
  <c r="P152" i="1"/>
  <c r="Q152" i="1"/>
  <c r="Q73" i="1"/>
  <c r="P73" i="1"/>
  <c r="O73" i="1"/>
  <c r="Q116" i="1"/>
  <c r="P116" i="1"/>
  <c r="O116" i="1"/>
  <c r="BD8" i="1"/>
  <c r="AJ8" i="1"/>
  <c r="Z7" i="1"/>
  <c r="Q118" i="1"/>
  <c r="P118" i="1"/>
  <c r="O118" i="1"/>
  <c r="Q340" i="1"/>
  <c r="P340" i="1"/>
  <c r="O340" i="1"/>
  <c r="Q164" i="1"/>
  <c r="P164" i="1"/>
  <c r="O164" i="1"/>
  <c r="Q256" i="1"/>
  <c r="O256" i="1"/>
  <c r="P256" i="1"/>
  <c r="Q47" i="1"/>
  <c r="P47" i="1"/>
  <c r="O47" i="1"/>
  <c r="O151" i="1"/>
  <c r="Q151" i="1"/>
  <c r="P151" i="1"/>
  <c r="Q250" i="1"/>
  <c r="P250" i="1"/>
  <c r="O250" i="1"/>
  <c r="BC7" i="1"/>
  <c r="BG8" i="1"/>
  <c r="BF7" i="1" l="1"/>
  <c r="BG7" i="1"/>
  <c r="AJ7" i="1"/>
  <c r="BH8" i="1"/>
  <c r="BH7" i="1" s="1"/>
  <c r="B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nvdieuhanh.tt</author>
  </authors>
  <commentList>
    <comment ref="H43" authorId="0" shapeId="0" xr:uid="{DB82FB34-6033-4D14-A18F-8B7D808946BA}">
      <text>
        <r>
          <rPr>
            <sz val="14"/>
            <color indexed="81"/>
            <rFont val="Tahoma"/>
            <family val="2"/>
          </rPr>
          <t xml:space="preserve">GIỜ KẾT THÚC NHẬP TÀU : 05/02/2025  12:03:08
GIỜ BẮT ĐẦU XUẤT TÀU : 09/02/2025  </t>
        </r>
        <r>
          <rPr>
            <sz val="12"/>
            <color indexed="81"/>
            <rFont val="Tahoma"/>
            <family val="2"/>
          </rPr>
          <t>10:05:55</t>
        </r>
      </text>
    </comment>
    <comment ref="L43" authorId="0" shapeId="0" xr:uid="{9D3E9071-19DF-4807-83B0-BB8A1F8C4BB0}">
      <text>
        <r>
          <rPr>
            <sz val="12"/>
            <color indexed="81"/>
            <rFont val="Tahoma"/>
            <family val="2"/>
          </rPr>
          <t>10:05:55
=&gt; 
Break Time 1 : 96H12
Break Time 2 : 02:10
=&gt; Break Time = 96H12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<sst xmlns="http://schemas.openxmlformats.org/spreadsheetml/2006/main" count="2763" uniqueCount="1398">
  <si>
    <t>BÁO CÁO SẢN LƯỢNG TÀU CONTAINER</t>
  </si>
  <si>
    <t>Tháng</t>
  </si>
  <si>
    <t>TT</t>
  </si>
  <si>
    <r>
      <t xml:space="preserve">Vessel
</t>
    </r>
    <r>
      <rPr>
        <b/>
        <sz val="26"/>
        <color rgb="FFFF0000"/>
        <rFont val="Times New Roman"/>
        <family val="1"/>
      </rPr>
      <t>(N2025)</t>
    </r>
  </si>
  <si>
    <t>Vessel/Year/Seq</t>
  </si>
  <si>
    <t>Voyage</t>
  </si>
  <si>
    <t>ATB</t>
  </si>
  <si>
    <t>ATW</t>
  </si>
  <si>
    <t>ATC</t>
  </si>
  <si>
    <t>ATD</t>
  </si>
  <si>
    <t>Thời gian khai thác           (Gross working time)</t>
  </si>
  <si>
    <t>Thời gian ngưng           (Delay times)</t>
  </si>
  <si>
    <t>Thời gian khai thác   (Net time)</t>
  </si>
  <si>
    <t>Thời gian nằm cầu                (Port Time)</t>
  </si>
  <si>
    <t>Năng suất làm hàng (Net) Move/h</t>
  </si>
  <si>
    <t>Năng suất làm hàng (Gross) Move/h</t>
  </si>
  <si>
    <t>Năng suất làm hàng (Port Time) Move/h</t>
  </si>
  <si>
    <t>LINE</t>
  </si>
  <si>
    <t>Năm 2025</t>
  </si>
  <si>
    <t>TỔNG CỘNG
NĂM 2025
N+X+SHIIFTING</t>
  </si>
  <si>
    <t>Nhập</t>
  </si>
  <si>
    <t>Xuất</t>
  </si>
  <si>
    <t>TỔNG
NHẬP/XUẤT</t>
  </si>
  <si>
    <t>Shifting 
Nhập</t>
  </si>
  <si>
    <t>Shifting 
Xuất</t>
  </si>
  <si>
    <t xml:space="preserve">TỔNG SHIFTING </t>
  </si>
  <si>
    <t>Tổng 
Nhập+Shifting</t>
  </si>
  <si>
    <t>Tổng 
Xuất+Shifting</t>
  </si>
  <si>
    <t>20'</t>
  </si>
  <si>
    <t>40'</t>
  </si>
  <si>
    <t>20'RF</t>
  </si>
  <si>
    <t>40'RF</t>
  </si>
  <si>
    <t>Conts</t>
  </si>
  <si>
    <t>Teus</t>
  </si>
  <si>
    <t>F</t>
  </si>
  <si>
    <t>E</t>
  </si>
  <si>
    <t>LT</t>
  </si>
  <si>
    <t>TỔNG LŨY TIẾN NĂM 2025</t>
  </si>
  <si>
    <t>Hours</t>
  </si>
  <si>
    <t>Moves/h</t>
  </si>
  <si>
    <t>T1</t>
  </si>
  <si>
    <t>Vessel</t>
  </si>
  <si>
    <t>Tháng 1</t>
  </si>
  <si>
    <t>VINAFCO 26</t>
  </si>
  <si>
    <t>VF26/2024/0041</t>
  </si>
  <si>
    <t>879HS-880SD</t>
  </si>
  <si>
    <t>01/01/2025 20:35</t>
  </si>
  <si>
    <t>01/01/2025 21:05</t>
  </si>
  <si>
    <t>02/01/2025 12:32</t>
  </si>
  <si>
    <t>02/01/2025 21:00</t>
  </si>
  <si>
    <t>VFC</t>
  </si>
  <si>
    <t>BIEN DONG STAR</t>
  </si>
  <si>
    <t>BDST/2025/0001</t>
  </si>
  <si>
    <t>2501S/N</t>
  </si>
  <si>
    <t>02/01/2025 18:50</t>
  </si>
  <si>
    <t>02/01/2025 19:15</t>
  </si>
  <si>
    <t>03/01/2025 08:30</t>
  </si>
  <si>
    <t>VIMC</t>
  </si>
  <si>
    <t>BIEN DONG MARINER</t>
  </si>
  <si>
    <t>BDMR/2025/0001</t>
  </si>
  <si>
    <t>2413S/N</t>
  </si>
  <si>
    <t>03/01/2025 15:30</t>
  </si>
  <si>
    <t>03/01/2025 15:50</t>
  </si>
  <si>
    <t>04/01/2025 06:20</t>
  </si>
  <si>
    <t>04/01/2025 07:00</t>
  </si>
  <si>
    <t>FORTUNE NAVIGATOR</t>
  </si>
  <si>
    <t>VFON/2025/0001</t>
  </si>
  <si>
    <t>05/01/2025 07:15</t>
  </si>
  <si>
    <t>05/01/2025 07:40</t>
  </si>
  <si>
    <t>05/01/2025 17:50</t>
  </si>
  <si>
    <t>05/01/2025 18:20</t>
  </si>
  <si>
    <t>VOC</t>
  </si>
  <si>
    <t>BIEN DONG NAVIGATOR</t>
  </si>
  <si>
    <t>BDNA/2025/0001</t>
  </si>
  <si>
    <t>2445S/N</t>
  </si>
  <si>
    <t>06/01/2025 05:05</t>
  </si>
  <si>
    <t>06/01/2025 05:40</t>
  </si>
  <si>
    <t>06/01/2025 19:17</t>
  </si>
  <si>
    <t>06/01/2025 22:00</t>
  </si>
  <si>
    <t>FORTUNE FREIGHTER</t>
  </si>
  <si>
    <t>VFFT/2025/0001</t>
  </si>
  <si>
    <t>07/01/2025 06:15</t>
  </si>
  <si>
    <t>07/01/2025 06:50</t>
  </si>
  <si>
    <t>07/01/2025 18:45</t>
  </si>
  <si>
    <t>07/01/2025 19:00</t>
  </si>
  <si>
    <t>BDST/2025/0002</t>
  </si>
  <si>
    <t>2502S/N</t>
  </si>
  <si>
    <t>10/01/2025 10:00</t>
  </si>
  <si>
    <t>10/01/2025 11:10</t>
  </si>
  <si>
    <t>11/01/2025 00:00</t>
  </si>
  <si>
    <t>11/01/2025 00:50</t>
  </si>
  <si>
    <t>01:10</t>
  </si>
  <si>
    <t>VF26/2025/0001</t>
  </si>
  <si>
    <t>881HS-882SD</t>
  </si>
  <si>
    <t>10/01/2025 21:15</t>
  </si>
  <si>
    <t>10/01/2025 21:30</t>
  </si>
  <si>
    <t>11/01/2025 11:46</t>
  </si>
  <si>
    <t>11/01/2025 16:00</t>
  </si>
  <si>
    <t>BDMR/2025/0002</t>
  </si>
  <si>
    <t>11/01/2025 18:55</t>
  </si>
  <si>
    <t>11/01/2025 19:10</t>
  </si>
  <si>
    <t>12/01/2025 08:48</t>
  </si>
  <si>
    <t>12/01/2025 10:00</t>
  </si>
  <si>
    <t>VFON/2025/0002</t>
  </si>
  <si>
    <t>12/01/2025 19:35</t>
  </si>
  <si>
    <t>12/01/2025 19:55</t>
  </si>
  <si>
    <t>13/01/2025 08:12</t>
  </si>
  <si>
    <t>13/01/2025 11:00</t>
  </si>
  <si>
    <t>BDNA/2025/0002</t>
  </si>
  <si>
    <t>14/01/2025 03:45</t>
  </si>
  <si>
    <t>14/01/2025 04:45</t>
  </si>
  <si>
    <t>14/01/2025 19:13</t>
  </si>
  <si>
    <t>14/01/2025 20:00</t>
  </si>
  <si>
    <t>VFFT/2025/0002</t>
  </si>
  <si>
    <t>15/01/2025 01:15</t>
  </si>
  <si>
    <t>15/01/2025 01:45</t>
  </si>
  <si>
    <t>15/01/2025 13:11</t>
  </si>
  <si>
    <t>15/01/2025 14:00</t>
  </si>
  <si>
    <t>BDST/2025/0003</t>
  </si>
  <si>
    <t>2503S/N</t>
  </si>
  <si>
    <t>18/01/2025 19:45</t>
  </si>
  <si>
    <t>18/01/2025 20:20</t>
  </si>
  <si>
    <t>19/01/2025 08:09</t>
  </si>
  <si>
    <t>19/01/2025 08:30</t>
  </si>
  <si>
    <t>BDMR/2025/0003</t>
  </si>
  <si>
    <t>20/01/2025 09:00</t>
  </si>
  <si>
    <t>20/01/2025 09:30</t>
  </si>
  <si>
    <t>21/01/2025 00:26</t>
  </si>
  <si>
    <t>21/01/2025 04:00</t>
  </si>
  <si>
    <t>VFON/2025/0003</t>
  </si>
  <si>
    <t>20/01/2025 22:40</t>
  </si>
  <si>
    <t>20/01/2025 23:10</t>
  </si>
  <si>
    <t>21/01/2025 09:59</t>
  </si>
  <si>
    <t>21/01/2025 10:30</t>
  </si>
  <si>
    <t>VF26/2025/0002</t>
  </si>
  <si>
    <t>883HS-884SD</t>
  </si>
  <si>
    <t>21/01/2025 07:40</t>
  </si>
  <si>
    <t>21/01/2025 07:55</t>
  </si>
  <si>
    <t>22/01/2025 02:40</t>
  </si>
  <si>
    <t>22/01/2025 05:00</t>
  </si>
  <si>
    <t>BDNA/2025/0003</t>
  </si>
  <si>
    <t>22/01/2025 11:40</t>
  </si>
  <si>
    <t>22/01/2025 12:15</t>
  </si>
  <si>
    <t>22/01/2025 23:24</t>
  </si>
  <si>
    <t>23/01/2025 00:00</t>
  </si>
  <si>
    <t>VFFT/2025/0003</t>
  </si>
  <si>
    <t>23/01/2025 00:45</t>
  </si>
  <si>
    <t>23/01/2025 01:20</t>
  </si>
  <si>
    <t>23/01/2025 13:11</t>
  </si>
  <si>
    <t>23/01/2025 14:00</t>
  </si>
  <si>
    <r>
      <t>VIMC PIONEER</t>
    </r>
    <r>
      <rPr>
        <b/>
        <sz val="14"/>
        <color rgb="FFFF0000"/>
        <rFont val="Times New Roman"/>
        <family val="1"/>
      </rPr>
      <t xml:space="preserve"> (NHẬP)</t>
    </r>
  </si>
  <si>
    <t>VMPN/2025/0001</t>
  </si>
  <si>
    <t>2501S</t>
  </si>
  <si>
    <t>25/01/2025 09:30</t>
  </si>
  <si>
    <t>25/01/2025 10:18</t>
  </si>
  <si>
    <t>25/01/2025 15:04</t>
  </si>
  <si>
    <t>VFON/2025/0004</t>
  </si>
  <si>
    <t>2504S/N</t>
  </si>
  <si>
    <t>28/01/2025 14:30</t>
  </si>
  <si>
    <t>28/01/2025 14:55</t>
  </si>
  <si>
    <t>29/01/2025 14:43</t>
  </si>
  <si>
    <t>30/01/2025 05:00</t>
  </si>
  <si>
    <t>BDMR/2025/0004</t>
  </si>
  <si>
    <t>28/01/2025 19:50</t>
  </si>
  <si>
    <t>29/01/2025 08:00</t>
  </si>
  <si>
    <t>29/01/2025 18:40</t>
  </si>
  <si>
    <t>30/01/2025 06:00</t>
  </si>
  <si>
    <t>BDNA/2025/0004</t>
  </si>
  <si>
    <t>31/01/2025 03:42</t>
  </si>
  <si>
    <t>31/01/2025 04:00</t>
  </si>
  <si>
    <t>31/01/2025 11:38</t>
  </si>
  <si>
    <t>31/01/2025 13:00</t>
  </si>
  <si>
    <t>T2</t>
  </si>
  <si>
    <t>Tháng 2</t>
  </si>
  <si>
    <t>VF26/2025/0003</t>
  </si>
  <si>
    <t>885HS-886SD</t>
  </si>
  <si>
    <t>31/01/2025 13:55</t>
  </si>
  <si>
    <t>31/01/2025 14:30</t>
  </si>
  <si>
    <t>06/02/2025 22:30</t>
  </si>
  <si>
    <t>VFFT/2025/0004</t>
  </si>
  <si>
    <t>02/02/2025 03:05</t>
  </si>
  <si>
    <t>02/02/2025 03:25</t>
  </si>
  <si>
    <t>05/02/2025 23:00</t>
  </si>
  <si>
    <t>BDST/2025/0004</t>
  </si>
  <si>
    <t>2505S/N</t>
  </si>
  <si>
    <t>06/02/2025 16:15</t>
  </si>
  <si>
    <t>06/02/2025 23:30</t>
  </si>
  <si>
    <t>07/02/2025 03:13</t>
  </si>
  <si>
    <t>07/02/2025 06:00</t>
  </si>
  <si>
    <t>VFON/2025/0005</t>
  </si>
  <si>
    <t>08/02/2025 17:40</t>
  </si>
  <si>
    <t>08/02/2025 18:10</t>
  </si>
  <si>
    <t>09/02/2025 08:30</t>
  </si>
  <si>
    <t>09/02/2025 09:00</t>
  </si>
  <si>
    <t>BDMR/2025/0005</t>
  </si>
  <si>
    <t>05/02/2025 07:50</t>
  </si>
  <si>
    <t>05/02/2025 08:25</t>
  </si>
  <si>
    <t>09/02/2025 16:15</t>
  </si>
  <si>
    <t>09/02/2025 17:00</t>
  </si>
  <si>
    <r>
      <t>VIMC PIONEER</t>
    </r>
    <r>
      <rPr>
        <b/>
        <sz val="14"/>
        <color rgb="FFFF0000"/>
        <rFont val="Times New Roman"/>
        <family val="1"/>
      </rPr>
      <t xml:space="preserve"> (XUẤT)</t>
    </r>
  </si>
  <si>
    <t>2502N</t>
  </si>
  <si>
    <t>09/02/2025 18:57</t>
  </si>
  <si>
    <t>10/02/2025 08:00</t>
  </si>
  <si>
    <t>10/02/2025 10:00</t>
  </si>
  <si>
    <t>VFFT/2025/0005</t>
  </si>
  <si>
    <t>13/02/2025 01:05</t>
  </si>
  <si>
    <t>13/02/2025 01:35</t>
  </si>
  <si>
    <t>13/02/2025 12:11</t>
  </si>
  <si>
    <t>13/02/2025 13:00</t>
  </si>
  <si>
    <t>BDST/2025/0005</t>
  </si>
  <si>
    <t>2506S/N</t>
  </si>
  <si>
    <t>15/02/2025 03:20</t>
  </si>
  <si>
    <t>15/02/2025 03:45</t>
  </si>
  <si>
    <t>15/02/2025 14:47</t>
  </si>
  <si>
    <t>15/02/2025 15:00</t>
  </si>
  <si>
    <t>VF26/2025/0004</t>
  </si>
  <si>
    <t>887HS-888SD</t>
  </si>
  <si>
    <t>15/02/2025 01:55</t>
  </si>
  <si>
    <t>15/02/2025 02:25</t>
  </si>
  <si>
    <t>15/02/2025 20:35</t>
  </si>
  <si>
    <t>15/02/2025 21:00</t>
  </si>
  <si>
    <t>BDMR/2025/0006</t>
  </si>
  <si>
    <t>16/02/2025 03:25</t>
  </si>
  <si>
    <t>16/02/2025 03:50</t>
  </si>
  <si>
    <t>16/02/2025 17:53</t>
  </si>
  <si>
    <t>16/02/2025 18:30</t>
  </si>
  <si>
    <t>VFON/2025/0006</t>
  </si>
  <si>
    <t>16/02/2025 20:50</t>
  </si>
  <si>
    <t>16/02/2025 21:20</t>
  </si>
  <si>
    <t>17/02/2025 09:10</t>
  </si>
  <si>
    <t>17/02/2025 09:30</t>
  </si>
  <si>
    <t>VIMC PIONEER</t>
  </si>
  <si>
    <t>VMPN/2025/0002</t>
  </si>
  <si>
    <t>18/02/2025 05:30</t>
  </si>
  <si>
    <t>18/02/2025 05:50</t>
  </si>
  <si>
    <t>18/02/2025 14:58</t>
  </si>
  <si>
    <t>18/02/2025 15:25</t>
  </si>
  <si>
    <t>VFFT/2025/0006</t>
  </si>
  <si>
    <t>20/02/2025 12:00</t>
  </si>
  <si>
    <t>20/02/2025 12:30</t>
  </si>
  <si>
    <t>20/02/2025 23:11</t>
  </si>
  <si>
    <t>20/02/2025 23:30</t>
  </si>
  <si>
    <t>BDST/2025/0006</t>
  </si>
  <si>
    <t>2507S/N</t>
  </si>
  <si>
    <t>22/02/2025 07:20</t>
  </si>
  <si>
    <t>22/02/2025 07:35</t>
  </si>
  <si>
    <t>22/02/2025 21:01</t>
  </si>
  <si>
    <t>22/02/2025 22:00</t>
  </si>
  <si>
    <t>BDMR/2025/0007</t>
  </si>
  <si>
    <t>22/02/2025 15:00</t>
  </si>
  <si>
    <t>22/02/2025 15:25</t>
  </si>
  <si>
    <t>23/02/2025 05:55</t>
  </si>
  <si>
    <t>23/02/2025 07:00</t>
  </si>
  <si>
    <t>VF26/2025/0005</t>
  </si>
  <si>
    <t>889HS-890SD</t>
  </si>
  <si>
    <t>23/02/2025 16:10</t>
  </si>
  <si>
    <t>23/02/2025 16:25</t>
  </si>
  <si>
    <t>24/02/2025 04:46</t>
  </si>
  <si>
    <t>24/02/2025 08:30</t>
  </si>
  <si>
    <t>VFON/2025/0007</t>
  </si>
  <si>
    <t>24/02/2025 05:15</t>
  </si>
  <si>
    <t>24/02/2025 05:25</t>
  </si>
  <si>
    <t>24/02/2025 15:36</t>
  </si>
  <si>
    <t>24/02/2025 16:30</t>
  </si>
  <si>
    <t>VMPN/2025/0003</t>
  </si>
  <si>
    <t>26/02/2025 14:00</t>
  </si>
  <si>
    <t>26/02/2025 14:30</t>
  </si>
  <si>
    <t>27/02/2025 02:08</t>
  </si>
  <si>
    <t>27/02/2025 03:00</t>
  </si>
  <si>
    <t>T3</t>
  </si>
  <si>
    <t>Tháng 3</t>
  </si>
  <si>
    <t>VFFT/2025/0007</t>
  </si>
  <si>
    <t>28/02/2025 21:00</t>
  </si>
  <si>
    <t>28/02/2025 21:25</t>
  </si>
  <si>
    <t>01/03/2025 08:07</t>
  </si>
  <si>
    <t>01/03/2025 08:30</t>
  </si>
  <si>
    <t>BDST/2025/0007</t>
  </si>
  <si>
    <t>2508S/N</t>
  </si>
  <si>
    <t>01/03/2025 23:20</t>
  </si>
  <si>
    <t>01/03/2025 23:40</t>
  </si>
  <si>
    <t>02/03/2025 12:12</t>
  </si>
  <si>
    <t>02/03/2025 13:00</t>
  </si>
  <si>
    <t>BDMR/2025/0008</t>
  </si>
  <si>
    <t>02/03/2025 15:00</t>
  </si>
  <si>
    <t>02/03/2025 15:25</t>
  </si>
  <si>
    <t>03/03/2025 00:03</t>
  </si>
  <si>
    <t>03/03/2025 01:30</t>
  </si>
  <si>
    <t>VFON/2025/0008</t>
  </si>
  <si>
    <t>04/03/2025 04:00</t>
  </si>
  <si>
    <t>04/03/2025 04:30</t>
  </si>
  <si>
    <t>04/03/2025 15:20</t>
  </si>
  <si>
    <t>04/03/2025 16:00</t>
  </si>
  <si>
    <t>VF26/2025/0006</t>
  </si>
  <si>
    <t>891HS-892SD</t>
  </si>
  <si>
    <t>05/03/2025 05:40</t>
  </si>
  <si>
    <t>05/03/2025 06:05</t>
  </si>
  <si>
    <t>05/03/2025 19:39</t>
  </si>
  <si>
    <t>05/03/2025 20:00</t>
  </si>
  <si>
    <t>BDNA/2025/0005</t>
  </si>
  <si>
    <t>05/03/2025 17:30</t>
  </si>
  <si>
    <t>05/03/2025 17:50</t>
  </si>
  <si>
    <t>06/03/2025 10:05</t>
  </si>
  <si>
    <t>06/03/2025 11:20</t>
  </si>
  <si>
    <t>VMPN/2025/0004</t>
  </si>
  <si>
    <t>07/03/2025 06:40</t>
  </si>
  <si>
    <t>07/03/2025 07:05</t>
  </si>
  <si>
    <t>07/03/2025 18:49</t>
  </si>
  <si>
    <t>07/03/2025 20:30</t>
  </si>
  <si>
    <t>VFFT/2025/0008</t>
  </si>
  <si>
    <t>08/03/2025 08:05</t>
  </si>
  <si>
    <t>08/03/2025 08:25</t>
  </si>
  <si>
    <t>08/03/2025 18:51</t>
  </si>
  <si>
    <t>08/03/2025 19:30</t>
  </si>
  <si>
    <t>BDST/2025/0008</t>
  </si>
  <si>
    <t>2509S/N</t>
  </si>
  <si>
    <t>09/03/2025 08:45</t>
  </si>
  <si>
    <t>09/03/2025 09:10</t>
  </si>
  <si>
    <t>09/03/2025 21:26</t>
  </si>
  <si>
    <t>09/03/2025 22:40</t>
  </si>
  <si>
    <t>BDMR/2025/0009</t>
  </si>
  <si>
    <t>10/03/2025 01:20</t>
  </si>
  <si>
    <t>10/03/2025 01:45</t>
  </si>
  <si>
    <t>10/03/2025 20:00</t>
  </si>
  <si>
    <t>11/03/2025 02:00</t>
  </si>
  <si>
    <t>VFON/2025/0009</t>
  </si>
  <si>
    <t>11/03/2025 14:55</t>
  </si>
  <si>
    <t>11/03/2025 15:25</t>
  </si>
  <si>
    <t>12/03/2025 02:36</t>
  </si>
  <si>
    <t>12/03/2025 03:00</t>
  </si>
  <si>
    <t>VF26/2025/0007</t>
  </si>
  <si>
    <t>893HS-894SD</t>
  </si>
  <si>
    <t>14/03/2025 01:10</t>
  </si>
  <si>
    <t>14/03/2025 01:40</t>
  </si>
  <si>
    <t>14/03/2025 14:58</t>
  </si>
  <si>
    <t>14/03/2025 18:00</t>
  </si>
  <si>
    <t>BDNA/2025/0006</t>
  </si>
  <si>
    <t>14/03/2025 14:00</t>
  </si>
  <si>
    <t>14/03/2025 14:25</t>
  </si>
  <si>
    <t>15/03/2025 04:38</t>
  </si>
  <si>
    <t>15/03/2025 06:00</t>
  </si>
  <si>
    <t>VFFT/2025/0009</t>
  </si>
  <si>
    <t>15/03/2025 21:50</t>
  </si>
  <si>
    <t>15/03/2025 22:10</t>
  </si>
  <si>
    <t>16/03/2025 11:03</t>
  </si>
  <si>
    <t>16/03/2025 13:00</t>
  </si>
  <si>
    <t>VMPN/2025/0005</t>
  </si>
  <si>
    <t>16/03/2025 02:30</t>
  </si>
  <si>
    <t>16/03/2025 03:00</t>
  </si>
  <si>
    <t>16/03/2025 16:16</t>
  </si>
  <si>
    <t>16/03/2025 18:00</t>
  </si>
  <si>
    <t>BDMR/2025/0010</t>
  </si>
  <si>
    <t>17/03/2025 06:10</t>
  </si>
  <si>
    <t>17/03/2025 06:40</t>
  </si>
  <si>
    <t>18/03/2025 03:56</t>
  </si>
  <si>
    <t>18/03/2025 07:00</t>
  </si>
  <si>
    <t>BDST/2025/0009</t>
  </si>
  <si>
    <t>2510S/N</t>
  </si>
  <si>
    <t>17/03/2025 17:15</t>
  </si>
  <si>
    <t>17/03/2025 17:40</t>
  </si>
  <si>
    <t>18/03/2025 17:40</t>
  </si>
  <si>
    <t>18/03/2025 20:30</t>
  </si>
  <si>
    <t>VFON/2025/00010</t>
  </si>
  <si>
    <t>19/03/2025 01:20</t>
  </si>
  <si>
    <t>19/03/2025 01:45</t>
  </si>
  <si>
    <t>19/03/2025 14:24</t>
  </si>
  <si>
    <t>19/03/2025 14:30</t>
  </si>
  <si>
    <t>BDNA/2025/0007</t>
  </si>
  <si>
    <t>22/03/2025 16:20</t>
  </si>
  <si>
    <t>22/03/2025 17:00</t>
  </si>
  <si>
    <t>23/03/2025 11:00</t>
  </si>
  <si>
    <t>23/03/2025 13:30</t>
  </si>
  <si>
    <t>VFFT/2025/0010</t>
  </si>
  <si>
    <t>23/03/2025 14:15</t>
  </si>
  <si>
    <t>23/03/2025 14:40</t>
  </si>
  <si>
    <t>24/03/2025 01:05</t>
  </si>
  <si>
    <t>24/03/2025 01:30</t>
  </si>
  <si>
    <t>VMPN/2025/0006</t>
  </si>
  <si>
    <t>24/03/2025 15:00</t>
  </si>
  <si>
    <t>24/03/2025 15:30</t>
  </si>
  <si>
    <t>25/03/2025 06:00</t>
  </si>
  <si>
    <t>25/03/2025 07:00</t>
  </si>
  <si>
    <t>BDMR/2025/0011</t>
  </si>
  <si>
    <t>26/03/2025 11:20</t>
  </si>
  <si>
    <t>26/03/2025 11:40</t>
  </si>
  <si>
    <t>26/03/2025 22:55</t>
  </si>
  <si>
    <t>26/03/2025 23:00</t>
  </si>
  <si>
    <t>VFON/2025/00011</t>
  </si>
  <si>
    <t>2511S/N</t>
  </si>
  <si>
    <t>26/03/2025 19:45</t>
  </si>
  <si>
    <t>26/03/2025 20:05</t>
  </si>
  <si>
    <t>27/03/2025 07:50</t>
  </si>
  <si>
    <t>27/03/2025 10:00</t>
  </si>
  <si>
    <t>BDST/2025/0010</t>
  </si>
  <si>
    <t>27/03/2025 09:45</t>
  </si>
  <si>
    <t>27/03/2025 10:05</t>
  </si>
  <si>
    <t>27/03/2025 22:22</t>
  </si>
  <si>
    <t>27/03/2025 23:00</t>
  </si>
  <si>
    <t>VFFT/2025/0011</t>
  </si>
  <si>
    <t>31/03/2025 01:50</t>
  </si>
  <si>
    <t>31/03/2025 02:15</t>
  </si>
  <si>
    <t>31/03/2025 12:54</t>
  </si>
  <si>
    <t>31/03/2025 13:25</t>
  </si>
  <si>
    <t>T4</t>
  </si>
  <si>
    <t>Tháng 4</t>
  </si>
  <si>
    <t>BDNA/2025/0008</t>
  </si>
  <si>
    <t>31/03/2025 16:00</t>
  </si>
  <si>
    <t>31/03/2025 16:15</t>
  </si>
  <si>
    <t>02/04/2025 04:46</t>
  </si>
  <si>
    <t>02/04/2025 08:00</t>
  </si>
  <si>
    <t>VMPN/2025/0007</t>
  </si>
  <si>
    <t>01/04/2025 05:35</t>
  </si>
  <si>
    <t>01/04/2025 06:10</t>
  </si>
  <si>
    <t>01/04/2025 18:30</t>
  </si>
  <si>
    <t>BDMR/2025/0012</t>
  </si>
  <si>
    <t>02/04/2025 15:25</t>
  </si>
  <si>
    <t>02/04/2025 15:45</t>
  </si>
  <si>
    <t>03/04/2025 02:29</t>
  </si>
  <si>
    <t>03/04/2025 03:00</t>
  </si>
  <si>
    <t>VFON/2025/00012</t>
  </si>
  <si>
    <t>2512S/N</t>
  </si>
  <si>
    <t>03/04/2025 00:50</t>
  </si>
  <si>
    <t>03/04/2025 01:10</t>
  </si>
  <si>
    <t>03/04/2025 13:09</t>
  </si>
  <si>
    <t>03/04/2025 14:30</t>
  </si>
  <si>
    <t>BDST/2025/0011</t>
  </si>
  <si>
    <t>03/04/2025 18:40</t>
  </si>
  <si>
    <t>03/04/2025 19:05</t>
  </si>
  <si>
    <t>04/04/2025 11:03</t>
  </si>
  <si>
    <t>04/04/2025 15:00</t>
  </si>
  <si>
    <t>VFFT/2025/0012</t>
  </si>
  <si>
    <t>08/04/2025 00:45</t>
  </si>
  <si>
    <t>08/04/2025 01:25</t>
  </si>
  <si>
    <t>08/04/2025 13:10</t>
  </si>
  <si>
    <t>08/04/2025 15:00</t>
  </si>
  <si>
    <t>VMPN/2025/0008</t>
  </si>
  <si>
    <t>09/04/2025 11:00</t>
  </si>
  <si>
    <t>09/04/2025 11:30</t>
  </si>
  <si>
    <t>09/04/2025 22:32</t>
  </si>
  <si>
    <t>09/04/2025 23:00</t>
  </si>
  <si>
    <t>BDMR/2025/0013</t>
  </si>
  <si>
    <t>10/04/2025 03:00</t>
  </si>
  <si>
    <t>10/04/2025 03:25</t>
  </si>
  <si>
    <t>10/04/2025 16:12</t>
  </si>
  <si>
    <t>10/04/2025 17:00</t>
  </si>
  <si>
    <t>VFON/2025/00013</t>
  </si>
  <si>
    <t>2513S/N</t>
  </si>
  <si>
    <t>10/04/2025 16:55</t>
  </si>
  <si>
    <t>10/04/2025 17:20</t>
  </si>
  <si>
    <t>11/04/2025 06:01</t>
  </si>
  <si>
    <t>11/04/2025 06:00</t>
  </si>
  <si>
    <t>BDNA/2025/0009</t>
  </si>
  <si>
    <t>11/04/2025 01:00</t>
  </si>
  <si>
    <t>11/04/2025 01:40</t>
  </si>
  <si>
    <t>11/04/2025 18:30</t>
  </si>
  <si>
    <t>11/04/2025 18:50</t>
  </si>
  <si>
    <t>BDST/2025/0012</t>
  </si>
  <si>
    <t>12/04/2025 18:50</t>
  </si>
  <si>
    <t>12/04/2025 19:25</t>
  </si>
  <si>
    <t>13/04/2025 06:58</t>
  </si>
  <si>
    <t>13/04/2025 11:40</t>
  </si>
  <si>
    <t>VFFT/2025/0013</t>
  </si>
  <si>
    <t>15/04/2025 07:30</t>
  </si>
  <si>
    <t>15/04/2025 08:00</t>
  </si>
  <si>
    <t>15/04/2025 17:48</t>
  </si>
  <si>
    <t>15/04/2025 19:30</t>
  </si>
  <si>
    <t>BDMR/2025/0014</t>
  </si>
  <si>
    <t>16/04/2025 14:15</t>
  </si>
  <si>
    <t>16/04/2025 14:40</t>
  </si>
  <si>
    <t>17/04/2025 05:57</t>
  </si>
  <si>
    <t>17/04/2025 08:00</t>
  </si>
  <si>
    <t>VMPN/2025/0009</t>
  </si>
  <si>
    <t>17/04/2025 03:45</t>
  </si>
  <si>
    <t>17/04/2025 04:10</t>
  </si>
  <si>
    <t>17/04/2025 16:16</t>
  </si>
  <si>
    <t>17/04/2025 19:00</t>
  </si>
  <si>
    <t>VFON/2025/0014</t>
  </si>
  <si>
    <t>2514S/N</t>
  </si>
  <si>
    <t>17/04/2025 23:25</t>
  </si>
  <si>
    <t>17/04/2025 23:50</t>
  </si>
  <si>
    <t>18/04/2025 10:32</t>
  </si>
  <si>
    <t>18/04/2025 10:30</t>
  </si>
  <si>
    <t>BDNA/2025/0010</t>
  </si>
  <si>
    <t>19/04/2025 04:55</t>
  </si>
  <si>
    <t>19/04/2025 05:20</t>
  </si>
  <si>
    <t>19/04/2025 20:52</t>
  </si>
  <si>
    <t>20/04/2025 03:00</t>
  </si>
  <si>
    <t>BDST/2025/0013</t>
  </si>
  <si>
    <t>20/04/2025 20:10</t>
  </si>
  <si>
    <t>20/04/2025 20:30</t>
  </si>
  <si>
    <t>21/04/2025 11:02</t>
  </si>
  <si>
    <t>21/04/2025 13:00</t>
  </si>
  <si>
    <t>VFFT/2025/0014</t>
  </si>
  <si>
    <t>22/04/2025 18:40</t>
  </si>
  <si>
    <t>22/04/2025 18:55</t>
  </si>
  <si>
    <t>23/04/2025 05:33</t>
  </si>
  <si>
    <t>23/04/2025 06:30</t>
  </si>
  <si>
    <t>BDMR/2025/0015</t>
  </si>
  <si>
    <t>23/04/2025 09:10</t>
  </si>
  <si>
    <t>23/04/2025 09:40</t>
  </si>
  <si>
    <t>23/04/2025 22:46</t>
  </si>
  <si>
    <t>24/04/2025 01:05</t>
  </si>
  <si>
    <t>VMPN/2025/0010</t>
  </si>
  <si>
    <t>25/04/2025 00:10</t>
  </si>
  <si>
    <t>25/04/2025 00:40</t>
  </si>
  <si>
    <t>25/04/2025 16:54</t>
  </si>
  <si>
    <t>25/04/2025 17:30</t>
  </si>
  <si>
    <t>VFON/2025/0015</t>
  </si>
  <si>
    <t>2515S/N</t>
  </si>
  <si>
    <t>26/04/2025 10:00</t>
  </si>
  <si>
    <t>26/04/2025 10:30</t>
  </si>
  <si>
    <t>26/04/2025 22:28</t>
  </si>
  <si>
    <t>26/04/2025 22:45</t>
  </si>
  <si>
    <t>BDNA/2025/0011</t>
  </si>
  <si>
    <t>27/04/2025 05:20</t>
  </si>
  <si>
    <t>27/04/2025 05:50</t>
  </si>
  <si>
    <t>27/04/2025 23:11:23</t>
  </si>
  <si>
    <t>28/04/2025 01:00</t>
  </si>
  <si>
    <t>BDST/2025/0014</t>
  </si>
  <si>
    <t>29/04/2025 04:20</t>
  </si>
  <si>
    <t>29/04/2025 04:45</t>
  </si>
  <si>
    <t>29/04/2025 16:05</t>
  </si>
  <si>
    <t>29/04/2025 18:30</t>
  </si>
  <si>
    <t>VFFT/2025/0015</t>
  </si>
  <si>
    <t>30/04/2025 02:35</t>
  </si>
  <si>
    <t>30/04/2025 03:05</t>
  </si>
  <si>
    <t>30/04/2025 13:12</t>
  </si>
  <si>
    <t>30/04/2025 14:00</t>
  </si>
  <si>
    <t>BDMR/2025/0016</t>
  </si>
  <si>
    <t>30/04/2025 04:05</t>
  </si>
  <si>
    <t>30/04/2025 04:45</t>
  </si>
  <si>
    <t>30/04/2025 17:41</t>
  </si>
  <si>
    <t>30/04/2025 18:00</t>
  </si>
  <si>
    <t>T5</t>
  </si>
  <si>
    <t>Vessel / Tháng 5</t>
  </si>
  <si>
    <t>Seq</t>
  </si>
  <si>
    <t>MORNING VINAFCO</t>
  </si>
  <si>
    <t>VFMN/2025/0001</t>
  </si>
  <si>
    <t>809HS-810SD</t>
  </si>
  <si>
    <t>01/05/2025 03:35</t>
  </si>
  <si>
    <t>01/05/2025 04:10</t>
  </si>
  <si>
    <t>01/05/2025 14:13</t>
  </si>
  <si>
    <t>01/05/2025 15:00</t>
  </si>
  <si>
    <t>VFON/2025/0016</t>
  </si>
  <si>
    <t>2516S/N</t>
  </si>
  <si>
    <t>03/05/2025 11:30</t>
  </si>
  <si>
    <t>03/05/2025 11:50</t>
  </si>
  <si>
    <t>05/05/2025 22:09</t>
  </si>
  <si>
    <t>05/05/2025 22:20</t>
  </si>
  <si>
    <t>BDNA/2025/0012</t>
  </si>
  <si>
    <t>05/05/2025 16:20</t>
  </si>
  <si>
    <t>05/05/2025 16:45</t>
  </si>
  <si>
    <t>06/05/2025 08:48</t>
  </si>
  <si>
    <t>06/05/2025 13:30</t>
  </si>
  <si>
    <t>BDST/2025/0015</t>
  </si>
  <si>
    <t>07/05/2025 16:00</t>
  </si>
  <si>
    <t>07/05/2025 16:30</t>
  </si>
  <si>
    <t>08/05/2025 07:55</t>
  </si>
  <si>
    <t>08/05/2025 09:00</t>
  </si>
  <si>
    <t>BDMR/2025/0017</t>
  </si>
  <si>
    <t>06/05/2025 14:30</t>
  </si>
  <si>
    <t>06/05/2025 15:00</t>
  </si>
  <si>
    <t>08/05/2025 18:03</t>
  </si>
  <si>
    <t>09/05/2025 09:00</t>
  </si>
  <si>
    <t>VFFT/2025/0016</t>
  </si>
  <si>
    <t>09/05/2025 02:55</t>
  </si>
  <si>
    <t>09/05/2025 03:25</t>
  </si>
  <si>
    <t>09/05/2025 13:42</t>
  </si>
  <si>
    <t>09/05/2025 15:00</t>
  </si>
  <si>
    <t>VF26/2025/0008</t>
  </si>
  <si>
    <t>895HS-896SD</t>
  </si>
  <si>
    <t>09/05/2025 10:05</t>
  </si>
  <si>
    <t>09/05/2025 10:25</t>
  </si>
  <si>
    <t>10/05/2025 03:15</t>
  </si>
  <si>
    <t>10/05/2025 04:00</t>
  </si>
  <si>
    <t>VMPN/2025/0012</t>
  </si>
  <si>
    <t>10/05/2525 16:45</t>
  </si>
  <si>
    <t>10/05/2525 17:15</t>
  </si>
  <si>
    <t>11/05/2525 04:55</t>
  </si>
  <si>
    <t>11/05/2525 05:30</t>
  </si>
  <si>
    <t>VFON/2025/0017</t>
  </si>
  <si>
    <t>2517S/N</t>
  </si>
  <si>
    <t>12/05/2025 12:35</t>
  </si>
  <si>
    <t>12/05/2025 13:05</t>
  </si>
  <si>
    <t>13/05/2025 00:10</t>
  </si>
  <si>
    <t>BDNA/2025/0013</t>
  </si>
  <si>
    <t>14/05/2025 02:00</t>
  </si>
  <si>
    <t>14/05/2025 02:15</t>
  </si>
  <si>
    <t>14/05/2025 17:46</t>
  </si>
  <si>
    <t>14/05/2025 18:00</t>
  </si>
  <si>
    <t>BDST/2025/0016</t>
  </si>
  <si>
    <t>15/05/2025 02:20</t>
  </si>
  <si>
    <t>15/05/2025 02:55</t>
  </si>
  <si>
    <t>16/05/2025 01:10</t>
  </si>
  <si>
    <t>BDMR/2025/0018</t>
  </si>
  <si>
    <t>15/05/2025 14:05</t>
  </si>
  <si>
    <t>15/05/2025 14:25</t>
  </si>
  <si>
    <t>16/05/2025 08:52</t>
  </si>
  <si>
    <t>16/05/2025 10:00</t>
  </si>
  <si>
    <t>VFFT/2025/0017</t>
  </si>
  <si>
    <t>16/05/2025 14:35</t>
  </si>
  <si>
    <t>16/05/2025 15:00</t>
  </si>
  <si>
    <t>17/05/2025 01:47</t>
  </si>
  <si>
    <t>17/05/2025 02:00</t>
  </si>
  <si>
    <t>VF26/2025/0009</t>
  </si>
  <si>
    <t>897HS-898SD</t>
  </si>
  <si>
    <t>17/05/2025 16:05</t>
  </si>
  <si>
    <t>17/05/2025 16:25</t>
  </si>
  <si>
    <t>18/05/2025 05:49</t>
  </si>
  <si>
    <t>18/05/2025 10:00</t>
  </si>
  <si>
    <t>VMPN/2025/0013</t>
  </si>
  <si>
    <t>19/05/2025 05:00</t>
  </si>
  <si>
    <t>19/05/2025 05:25</t>
  </si>
  <si>
    <t>19/05/2025 18:50</t>
  </si>
  <si>
    <t>19/05/2025 19:00</t>
  </si>
  <si>
    <t>VFON/2025/0018</t>
  </si>
  <si>
    <t>2518S/N</t>
  </si>
  <si>
    <t>19/05/2025 17:30</t>
  </si>
  <si>
    <t>20/05/2025 05:16</t>
  </si>
  <si>
    <t>20/05/2025 06:00</t>
  </si>
  <si>
    <t>BDMR/2025/0019</t>
  </si>
  <si>
    <t>22/05/2025 07:55</t>
  </si>
  <si>
    <t>22/05/2025 08:15</t>
  </si>
  <si>
    <t>22/05/2025 22:58</t>
  </si>
  <si>
    <t>23/05/2025 01:00</t>
  </si>
  <si>
    <t>BDNA/2025/0014</t>
  </si>
  <si>
    <t>22/05/2025 14:30</t>
  </si>
  <si>
    <t>22/05/2025 14:35</t>
  </si>
  <si>
    <t>23/05/2025 06:36</t>
  </si>
  <si>
    <t>23/05/2025 07:00</t>
  </si>
  <si>
    <t>VFFT/2025/0018</t>
  </si>
  <si>
    <t>23/05/2025 19:15</t>
  </si>
  <si>
    <t>23/05/2025 19:40</t>
  </si>
  <si>
    <t>24/05/2025 08:00</t>
  </si>
  <si>
    <t>BDST/2025/0017</t>
  </si>
  <si>
    <t>23/05/2025 14:50</t>
  </si>
  <si>
    <t>23/05/2025 15:20</t>
  </si>
  <si>
    <t>24/05/2025 09:47</t>
  </si>
  <si>
    <t>24/05/2025 09:50</t>
  </si>
  <si>
    <t>VF26/2025/0010</t>
  </si>
  <si>
    <t>899HS-900SD</t>
  </si>
  <si>
    <t>25/05/2025 23:15</t>
  </si>
  <si>
    <t>25/05/2025 23:40</t>
  </si>
  <si>
    <t>26/05/2025 13:48</t>
  </si>
  <si>
    <t>26/05/2025 15:30</t>
  </si>
  <si>
    <t>VFON/2025/0019</t>
  </si>
  <si>
    <t>2519S/N</t>
  </si>
  <si>
    <t>26/05/2025 22:40</t>
  </si>
  <si>
    <t>26/05/2025 23:10</t>
  </si>
  <si>
    <t>27/05/2025 10:34</t>
  </si>
  <si>
    <t>27/05/2025 11:00</t>
  </si>
  <si>
    <t>VMPN/2025/0014</t>
  </si>
  <si>
    <t>27/05/2025 07:05</t>
  </si>
  <si>
    <t>27/05/2025 07:50</t>
  </si>
  <si>
    <t>28/05/2025 00:30</t>
  </si>
  <si>
    <t>28/05/2025 01:00</t>
  </si>
  <si>
    <t>NEWSUN GREEN 03</t>
  </si>
  <si>
    <t>BDNG/2025/0001</t>
  </si>
  <si>
    <t>27/05/2025 12:55</t>
  </si>
  <si>
    <t>27/05/2025 13:55</t>
  </si>
  <si>
    <t>BDMR/2025/0020</t>
  </si>
  <si>
    <t>29/05/2025 03:50</t>
  </si>
  <si>
    <t>29/05/2025 04:10</t>
  </si>
  <si>
    <t>30/05/2025 22:50</t>
  </si>
  <si>
    <t>VFFT/2025/0019</t>
  </si>
  <si>
    <t>31/05/2025 04:35</t>
  </si>
  <si>
    <t>31/05/2025 05:05</t>
  </si>
  <si>
    <t>31/05/2025 15:02</t>
  </si>
  <si>
    <t>T6</t>
  </si>
  <si>
    <t>Vessel / Tháng 6</t>
  </si>
  <si>
    <t>BDNA/2025/0015</t>
  </si>
  <si>
    <t>31/05/2025 11:45</t>
  </si>
  <si>
    <t>31/05/2025 12:10</t>
  </si>
  <si>
    <t>01/06/2025 03:58</t>
  </si>
  <si>
    <t>BDST/2025/0018</t>
  </si>
  <si>
    <t>31/05/2025 18:00</t>
  </si>
  <si>
    <t>31/05/2025 18:10</t>
  </si>
  <si>
    <t>01/06/2025 09:33</t>
  </si>
  <si>
    <t>VFON/2025/0020</t>
  </si>
  <si>
    <t>2520S/N</t>
  </si>
  <si>
    <t>03/06/2025 02:35</t>
  </si>
  <si>
    <t>03/06/2025 02:55</t>
  </si>
  <si>
    <t>03/06/2025 13:50</t>
  </si>
  <si>
    <t>VF26/2025/0011</t>
  </si>
  <si>
    <t>901HS-902SD</t>
  </si>
  <si>
    <t>03/06/2025 05:50</t>
  </si>
  <si>
    <t>03/06/2025 06:05</t>
  </si>
  <si>
    <t>04/06/2025 03:03</t>
  </si>
  <si>
    <t>VMPN/2025/0015</t>
  </si>
  <si>
    <t>05/06/2025 08:15</t>
  </si>
  <si>
    <t>05/06/2025 08:40</t>
  </si>
  <si>
    <t>05/06/2025 19:42</t>
  </si>
  <si>
    <t>VFFT/2025/0020</t>
  </si>
  <si>
    <t>07/06/2025 07:00</t>
  </si>
  <si>
    <t>07/06/2025 07:15</t>
  </si>
  <si>
    <t>07/06/2025 18:38</t>
  </si>
  <si>
    <t>BDNA/2025/0016</t>
  </si>
  <si>
    <t>08/06/2025 10:30</t>
  </si>
  <si>
    <t>08/06/2025 10:55</t>
  </si>
  <si>
    <t>08/06/2025 18:00</t>
  </si>
  <si>
    <t>BDST/2025/0019</t>
  </si>
  <si>
    <t>08/06/2025 04:05</t>
  </si>
  <si>
    <t>08/06/2025 04:30</t>
  </si>
  <si>
    <t>08/06/2025 23:07</t>
  </si>
  <si>
    <t>VFON/2025/0021</t>
  </si>
  <si>
    <t>2521S/N</t>
  </si>
  <si>
    <t>10/06/2025 07:10</t>
  </si>
  <si>
    <t>10/06/2025 07:30</t>
  </si>
  <si>
    <t>10/06/2025 22:45</t>
  </si>
  <si>
    <t>VF26/2025/0012</t>
  </si>
  <si>
    <t>903HS-904SD</t>
  </si>
  <si>
    <t>11/06/2025 14:30</t>
  </si>
  <si>
    <t>11/06/2025 15:00</t>
  </si>
  <si>
    <t>12/06/2025 04:54</t>
  </si>
  <si>
    <t>VMPN/2025/0016</t>
  </si>
  <si>
    <t>13/06/2025 03:35</t>
  </si>
  <si>
    <t>13/06/2025 03:55</t>
  </si>
  <si>
    <t>13/06/2025 17:17</t>
  </si>
  <si>
    <t>VFFT/2025/0021</t>
  </si>
  <si>
    <t>14/06/2025 19:00</t>
  </si>
  <si>
    <t>14/06/2025 19:30</t>
  </si>
  <si>
    <t>15/06/2025 07:49</t>
  </si>
  <si>
    <t>BDNA/2025/0017</t>
  </si>
  <si>
    <t>16/06/2025 16:10</t>
  </si>
  <si>
    <t>16/06/2025 16:30</t>
  </si>
  <si>
    <t>17/06/2025 01:01</t>
  </si>
  <si>
    <t>BDST/2025/0020</t>
  </si>
  <si>
    <t>17/06/2025 10:50</t>
  </si>
  <si>
    <t>17/06/2025 11:15</t>
  </si>
  <si>
    <t>18/06/2025 02:00</t>
  </si>
  <si>
    <t>BDMR/2025/0021</t>
  </si>
  <si>
    <t>17/06/2025 17:10</t>
  </si>
  <si>
    <t>17/06/2025 17:30</t>
  </si>
  <si>
    <t>18/06/2025 11:19</t>
  </si>
  <si>
    <t>VFON/2025/0022</t>
  </si>
  <si>
    <t>2522S/N</t>
  </si>
  <si>
    <t>18/06/2025 19:30</t>
  </si>
  <si>
    <t>18/06/2025 19:55</t>
  </si>
  <si>
    <t>19/06/2025 07:26</t>
  </si>
  <si>
    <t>VF26/2025/0013</t>
  </si>
  <si>
    <t>905HS-906SD</t>
  </si>
  <si>
    <t>19/06/2025 20:20</t>
  </si>
  <si>
    <t>19/06/2025 20:50</t>
  </si>
  <si>
    <t>20/06/2025 10:06</t>
  </si>
  <si>
    <t>VMPN/2025/0017</t>
  </si>
  <si>
    <t>20/06/2025 22:05</t>
  </si>
  <si>
    <t>20/06/2025 22:20</t>
  </si>
  <si>
    <t>21/06/2025 05:32</t>
  </si>
  <si>
    <t>VFFT/2025/0022</t>
  </si>
  <si>
    <t>22/06/2025 11:20</t>
  </si>
  <si>
    <t>22/06/2025 11:45</t>
  </si>
  <si>
    <t>22/06/2025 21:51</t>
  </si>
  <si>
    <t>BDNA/2025/0018</t>
  </si>
  <si>
    <t>24/06/2025 13:55</t>
  </si>
  <si>
    <t>24/06/2025 14:15</t>
  </si>
  <si>
    <t>24/06/2025 22:37</t>
  </si>
  <si>
    <t>BDST/2025/0021</t>
  </si>
  <si>
    <t>25/06/2025 00:35</t>
  </si>
  <si>
    <t>25/06/2025 00:55</t>
  </si>
  <si>
    <t>25/06/2025 15:02</t>
  </si>
  <si>
    <t>VFON/2025/0023</t>
  </si>
  <si>
    <t>2523S/N</t>
  </si>
  <si>
    <t>26/06/2025 01:20</t>
  </si>
  <si>
    <t>26/06/2025 01:50</t>
  </si>
  <si>
    <t>26/06/2025 12:20</t>
  </si>
  <si>
    <t>BDMR/2025/0022</t>
  </si>
  <si>
    <t>28/06/2025 03:00</t>
  </si>
  <si>
    <t>28/06/2025 03:30</t>
  </si>
  <si>
    <t>28/06/2025 15:10</t>
  </si>
  <si>
    <t>VF26/2025/0014</t>
  </si>
  <si>
    <t>907HS-908SD</t>
  </si>
  <si>
    <t>28/06/2025 17:25</t>
  </si>
  <si>
    <t>28/06/2025 17:45</t>
  </si>
  <si>
    <t>29/06/2025 10:28</t>
  </si>
  <si>
    <t>VMPN/2025/0018</t>
  </si>
  <si>
    <t>29/06/2025 04:20</t>
  </si>
  <si>
    <t>29/06/2025 04:30</t>
  </si>
  <si>
    <t>29/06/2025 17:59</t>
  </si>
  <si>
    <t>VFFT/2025/0023</t>
  </si>
  <si>
    <t>29/06/2025 15:55</t>
  </si>
  <si>
    <t>29/06/2025 16:20</t>
  </si>
  <si>
    <t>30/06/2025 03:45</t>
  </si>
  <si>
    <t/>
  </si>
  <si>
    <t>T7</t>
  </si>
  <si>
    <t>Vessel / Tháng 7</t>
  </si>
  <si>
    <t>BDNA/2025/0019</t>
  </si>
  <si>
    <t>30/06/2025 18:00</t>
  </si>
  <si>
    <t>30/06/2025 18:30</t>
  </si>
  <si>
    <t>02/07/2025 00:02</t>
  </si>
  <si>
    <t>BDST/2025/0022</t>
  </si>
  <si>
    <t>02/07/2025 19:35</t>
  </si>
  <si>
    <t>02/07/2025 20:45</t>
  </si>
  <si>
    <t>03/07/2025 16:23</t>
  </si>
  <si>
    <t>VFON/2025/0024</t>
  </si>
  <si>
    <t>2524S/N</t>
  </si>
  <si>
    <t>03/07/2025 05:45</t>
  </si>
  <si>
    <t>03/07/2025 06:10</t>
  </si>
  <si>
    <t>03/07/2025 17:27</t>
  </si>
  <si>
    <t>VMPN/2025/0019</t>
  </si>
  <si>
    <t>06/07/2025 22:50</t>
  </si>
  <si>
    <t>06/07/2025 23:15</t>
  </si>
  <si>
    <t>07/07/2025 14:54</t>
  </si>
  <si>
    <t>VFFT/2025/0024</t>
  </si>
  <si>
    <t>07/07/2025 01:50</t>
  </si>
  <si>
    <t>07/07/2025 02:15</t>
  </si>
  <si>
    <t>07/07/2025 15:17</t>
  </si>
  <si>
    <t>BDMR/2025/0023</t>
  </si>
  <si>
    <t>06/07/2025 22:30</t>
  </si>
  <si>
    <t>06/07/2025 23:00</t>
  </si>
  <si>
    <t>07/07/2025 21:51</t>
  </si>
  <si>
    <t>VF26/2025/0015</t>
  </si>
  <si>
    <t>909HS-910SD</t>
  </si>
  <si>
    <t>07/07/2025 23:00</t>
  </si>
  <si>
    <t>07/07/2025 23:35</t>
  </si>
  <si>
    <t>07/09/2025 03:58</t>
  </si>
  <si>
    <t>BDNA/2025/0020</t>
  </si>
  <si>
    <t>10/07/2025 00:40</t>
  </si>
  <si>
    <t>10/07/2025 01:15</t>
  </si>
  <si>
    <t>10/07/2025 12:24</t>
  </si>
  <si>
    <t>VFON/2025/0025</t>
  </si>
  <si>
    <t>2525S/N</t>
  </si>
  <si>
    <t>10/07/2025 10:40</t>
  </si>
  <si>
    <t>10/07/2025 10:55</t>
  </si>
  <si>
    <t>10/07/2025 23:29</t>
  </si>
  <si>
    <t>BDST/2025/0023</t>
  </si>
  <si>
    <t>11/07/2025 01:15</t>
  </si>
  <si>
    <t>11/07/2025 01:40</t>
  </si>
  <si>
    <t>11/07/2025 15:26</t>
  </si>
  <si>
    <t>VFFT/2025/0025</t>
  </si>
  <si>
    <t>14/07/2025 17:20</t>
  </si>
  <si>
    <t>14/07/2025 17:40</t>
  </si>
  <si>
    <t>15/07/2025 03:36</t>
  </si>
  <si>
    <t>VMPN/2025/0020</t>
  </si>
  <si>
    <t>14/07/2025 19:30</t>
  </si>
  <si>
    <t>14/07/2025 19:50</t>
  </si>
  <si>
    <t>15/07/2025 10:50</t>
  </si>
  <si>
    <t>BDMR/2025/0024</t>
  </si>
  <si>
    <t>16/07/2025 16:45</t>
  </si>
  <si>
    <t>16/07/2025 17:05</t>
  </si>
  <si>
    <t>17/07/2025 09:16</t>
  </si>
  <si>
    <t>BDNA/2025/0021</t>
  </si>
  <si>
    <t>17/07/2025 06:45</t>
  </si>
  <si>
    <t>17/07/2025 07:10</t>
  </si>
  <si>
    <t>17/07/2025 15:52</t>
  </si>
  <si>
    <t>VFON/2025/0026</t>
  </si>
  <si>
    <t>2526S/N</t>
  </si>
  <si>
    <t>17/07/2025 17:45</t>
  </si>
  <si>
    <t>17/07/2025 18:10</t>
  </si>
  <si>
    <t>18/07/2025 04:31</t>
  </si>
  <si>
    <t>BDST/2025/0024</t>
  </si>
  <si>
    <t>18/07/2025 18:55</t>
  </si>
  <si>
    <t>18/07/2025 19:30</t>
  </si>
  <si>
    <t>19/07/2025 10:01</t>
  </si>
  <si>
    <t>VFMN/2025/0002</t>
  </si>
  <si>
    <t>827HS-828SD</t>
  </si>
  <si>
    <t>21/07/2025 05:55</t>
  </si>
  <si>
    <t>21/07/2025 06:25</t>
  </si>
  <si>
    <t>22/07/2025 02:26</t>
  </si>
  <si>
    <t>VFFT/2025/0026</t>
  </si>
  <si>
    <t>22/07/2025 01:45</t>
  </si>
  <si>
    <t>22/07/2025 02:15</t>
  </si>
  <si>
    <t>22/07/2025 13:00</t>
  </si>
  <si>
    <t>VMPN/2025/0021</t>
  </si>
  <si>
    <t>22/07/2025 23:50</t>
  </si>
  <si>
    <t>23/07/2025 00:10</t>
  </si>
  <si>
    <t>23/07/2025 11:07</t>
  </si>
  <si>
    <t>BDNA/2025/0022</t>
  </si>
  <si>
    <t>24/07/2025 10:30</t>
  </si>
  <si>
    <t>24/07/2025 10:55</t>
  </si>
  <si>
    <t>24/07/2025 21:09</t>
  </si>
  <si>
    <t>VFON/2025/0027</t>
  </si>
  <si>
    <t>2527S/N</t>
  </si>
  <si>
    <t>26/07/2025 21:00</t>
  </si>
  <si>
    <t>26/07/2025 21:25</t>
  </si>
  <si>
    <t>27/07/2025 07:32</t>
  </si>
  <si>
    <t>BDNG/2025/0002</t>
  </si>
  <si>
    <t>2517N</t>
  </si>
  <si>
    <t>27/07/2025 02:35</t>
  </si>
  <si>
    <t>27/07/2025 02:55</t>
  </si>
  <si>
    <t>BDMR/2025/0025</t>
  </si>
  <si>
    <t>28/07/2025 04:20</t>
  </si>
  <si>
    <t>28/07/2025 04:35</t>
  </si>
  <si>
    <t>28/07/2025 15:14</t>
  </si>
  <si>
    <t>BDST/2025/0025</t>
  </si>
  <si>
    <t>28/07/2025 19:50</t>
  </si>
  <si>
    <t>28/07/2025 20:10</t>
  </si>
  <si>
    <t>29/07/2025 09:14</t>
  </si>
  <si>
    <t>VFFT/2025/0027</t>
  </si>
  <si>
    <t>29/07/2025 16:25</t>
  </si>
  <si>
    <t>29/07/2025 16:50</t>
  </si>
  <si>
    <t>30/07/2025 04:31</t>
  </si>
  <si>
    <t>BDNA/2025/0023</t>
  </si>
  <si>
    <t>31/07/2025 04:50</t>
  </si>
  <si>
    <t>31/07/2025 05:00</t>
  </si>
  <si>
    <t>31/07/2025 15:50</t>
  </si>
  <si>
    <t>VMPN/2025/0022</t>
  </si>
  <si>
    <t>31/07/2025 05:15</t>
  </si>
  <si>
    <t>31/07/2025 16:22</t>
  </si>
  <si>
    <t>T8</t>
  </si>
  <si>
    <t>Vessel / Tháng 8</t>
  </si>
  <si>
    <t>VFON/2025/0028</t>
  </si>
  <si>
    <t>2528S/N</t>
  </si>
  <si>
    <t>03/08/2025 04:55</t>
  </si>
  <si>
    <t>03/08/2025 05:20</t>
  </si>
  <si>
    <t>03/08/2025 15:30</t>
  </si>
  <si>
    <t>BDST/2025/0026</t>
  </si>
  <si>
    <t>05/08/2025 07:20</t>
  </si>
  <si>
    <t>05/08/2025 20:31</t>
  </si>
  <si>
    <t>VFFT/2025/0028</t>
  </si>
  <si>
    <t>06/08/2025 03:00</t>
  </si>
  <si>
    <t>06/08/2025 03:25</t>
  </si>
  <si>
    <t>06/08/2025 14:56</t>
  </si>
  <si>
    <t>BDMR/2025/0026</t>
  </si>
  <si>
    <t>06/08/2025 02:40</t>
  </si>
  <si>
    <t>06/08/2025 03:15</t>
  </si>
  <si>
    <t>06/08/2025 20:16</t>
  </si>
  <si>
    <t>BDNG/2025/0003</t>
  </si>
  <si>
    <t>2520N/2021S</t>
  </si>
  <si>
    <t>07/08/2025 00:10</t>
  </si>
  <si>
    <t>07/08/2025 00:35</t>
  </si>
  <si>
    <t>07/08/2025 04:18</t>
  </si>
  <si>
    <t>BDNA/2025/0024</t>
  </si>
  <si>
    <t>07/08/2025 08:00</t>
  </si>
  <si>
    <t>07/08/2025 09:10</t>
  </si>
  <si>
    <t>07/08/2025 20:24</t>
  </si>
  <si>
    <t>VMPN/2025/0023</t>
  </si>
  <si>
    <t>08/08/2025 02:30</t>
  </si>
  <si>
    <t>08/08/2025 02:45</t>
  </si>
  <si>
    <t>08/08/2025 14:55</t>
  </si>
  <si>
    <t>VFON/2025/0029</t>
  </si>
  <si>
    <t>2529S/N</t>
  </si>
  <si>
    <t>10/08/2025 14:30</t>
  </si>
  <si>
    <t>10/08/2025 14:55</t>
  </si>
  <si>
    <t>11/08/2025 00:51</t>
  </si>
  <si>
    <t>BDST/2025/0027</t>
  </si>
  <si>
    <t>12/08/2025 15:00</t>
  </si>
  <si>
    <t>12/08/2025 15:30</t>
  </si>
  <si>
    <t>13/08/2025 01:55</t>
  </si>
  <si>
    <t>BDNA/2025/0025</t>
  </si>
  <si>
    <t>13/08/2025 16:00</t>
  </si>
  <si>
    <t>13/08/2025 16:20</t>
  </si>
  <si>
    <t>14/08/2025 04:50</t>
  </si>
  <si>
    <t>VFFT/2025/0029</t>
  </si>
  <si>
    <t>13/08/2025 17:25</t>
  </si>
  <si>
    <t>13/08/2025 17:55</t>
  </si>
  <si>
    <t>14/08/2025 04:44</t>
  </si>
  <si>
    <t>VMPN/2025/0024</t>
  </si>
  <si>
    <t>15/08/2025 23:35</t>
  </si>
  <si>
    <t>15/08/2025 23:50</t>
  </si>
  <si>
    <t>16/08/2025 10:34</t>
  </si>
  <si>
    <t>BDNG/2025/0004</t>
  </si>
  <si>
    <t>2523N/2024S</t>
  </si>
  <si>
    <t>16/08/2025 05:15</t>
  </si>
  <si>
    <t>16/08/2025 05:40</t>
  </si>
  <si>
    <t>16/08/2025 10:50</t>
  </si>
  <si>
    <t>BDMR/2025/0027</t>
  </si>
  <si>
    <t>15/08/2025 17:05</t>
  </si>
  <si>
    <t>15/08/2025 17:30</t>
  </si>
  <si>
    <t>16/08/2025 21:05</t>
  </si>
  <si>
    <t>VFON/2025/0030</t>
  </si>
  <si>
    <t>2530S/N</t>
  </si>
  <si>
    <t>17/08/2025 19:00</t>
  </si>
  <si>
    <t>17/08/2025 19:20</t>
  </si>
  <si>
    <t>18/08/2025 05:40</t>
  </si>
  <si>
    <t>BDNG/2025/0005</t>
  </si>
  <si>
    <t>2524N/2025S</t>
  </si>
  <si>
    <t>20/08/2025 00:45</t>
  </si>
  <si>
    <t>20/08/2025 01:20</t>
  </si>
  <si>
    <t>20/08/2025 05:40</t>
  </si>
  <si>
    <t>BDST/2025/0028</t>
  </si>
  <si>
    <t>19/08/2025 23:30</t>
  </si>
  <si>
    <t>19/08/2025 23:55</t>
  </si>
  <si>
    <t>20/08/2025 16:50</t>
  </si>
  <si>
    <t>BDNA/2025/0026</t>
  </si>
  <si>
    <t>20/08/2025 06:25</t>
  </si>
  <si>
    <t>20/08/2025 07:15</t>
  </si>
  <si>
    <t>20/08/2025 21:24</t>
  </si>
  <si>
    <t>VFFT/2025/0030</t>
  </si>
  <si>
    <t>20/08/2025 23:15</t>
  </si>
  <si>
    <t>20/08/2025 23:45</t>
  </si>
  <si>
    <t>21/08/2025 10:39</t>
  </si>
  <si>
    <t>BDNG/2025/0006</t>
  </si>
  <si>
    <t>2526N/2526N</t>
  </si>
  <si>
    <t>23/08/2025 01:10</t>
  </si>
  <si>
    <t>23/08/2025 01:35</t>
  </si>
  <si>
    <t>23/08/2025 10:48</t>
  </si>
  <si>
    <t>VMPN/2025/0025</t>
  </si>
  <si>
    <t>23/08/2025 17:40</t>
  </si>
  <si>
    <t>23/08/2025 18:05</t>
  </si>
  <si>
    <t>24/08/2025 06:15</t>
  </si>
  <si>
    <t>VFON/2025/0031</t>
  </si>
  <si>
    <t>2531S/N</t>
  </si>
  <si>
    <t>25/08/2025 02:30</t>
  </si>
  <si>
    <t>25/08/2025 02:50</t>
  </si>
  <si>
    <t>25/08/2025 13:06</t>
  </si>
  <si>
    <t>BDMR/2025/0028</t>
  </si>
  <si>
    <t>26/08/2025 03:15</t>
  </si>
  <si>
    <t>26/08/2025 03:55</t>
  </si>
  <si>
    <t>27/08/2025 01:48</t>
  </si>
  <si>
    <t>BDNA/2025/0027</t>
  </si>
  <si>
    <t>27/08/2025 05:00</t>
  </si>
  <si>
    <t>27/08/2025 05:15</t>
  </si>
  <si>
    <t>27/08/2025 13:07</t>
  </si>
  <si>
    <t>BDST/2025/0029</t>
  </si>
  <si>
    <t>28/08/2025 22:45</t>
  </si>
  <si>
    <t>28/08/2025 23:15</t>
  </si>
  <si>
    <t>29/08/2025 11:45</t>
  </si>
  <si>
    <t>VMPN/2025/0026</t>
  </si>
  <si>
    <t>31/08/2025 04:35</t>
  </si>
  <si>
    <t>31/08/2025 05:05</t>
  </si>
  <si>
    <t>T9</t>
  </si>
  <si>
    <r>
      <t xml:space="preserve">Vessel </t>
    </r>
    <r>
      <rPr>
        <b/>
        <sz val="16"/>
        <color rgb="FFFF0000"/>
        <rFont val="Times New Roman"/>
        <family val="1"/>
      </rPr>
      <t>/ Tháng 9</t>
    </r>
  </si>
  <si>
    <t>VFON/2025/0032</t>
  </si>
  <si>
    <t>2532S/N</t>
  </si>
  <si>
    <t>01/09/2025 02:30</t>
  </si>
  <si>
    <t>01/09/2025 03:00</t>
  </si>
  <si>
    <t>01/09/2025 15:02</t>
  </si>
  <si>
    <t>BDMR/2025/0029</t>
  </si>
  <si>
    <t>04/09/2025 08:30</t>
  </si>
  <si>
    <t>04/09/2025 08:45</t>
  </si>
  <si>
    <t>05/09/2025 01:40</t>
  </si>
  <si>
    <t>BDNA/2025/0028</t>
  </si>
  <si>
    <t>03/09/2025 02:05</t>
  </si>
  <si>
    <t>03/09/2025 02:35</t>
  </si>
  <si>
    <t>05/09/2025 11:56</t>
  </si>
  <si>
    <t>VMPN/2025/0027</t>
  </si>
  <si>
    <t>08/09/2025 01:10</t>
  </si>
  <si>
    <t>08/09/2025 01:35</t>
  </si>
  <si>
    <t>08/09/2025 13:26</t>
  </si>
  <si>
    <t>VFON/2025/0033</t>
  </si>
  <si>
    <t>2533S/N</t>
  </si>
  <si>
    <t>08/09/2025 08:15</t>
  </si>
  <si>
    <t>08/09/2025 08:40</t>
  </si>
  <si>
    <t>08/09/2025 23:40</t>
  </si>
  <si>
    <t>BDNA/2025/0029</t>
  </si>
  <si>
    <t>12/09/2025 03:30</t>
  </si>
  <si>
    <t>12/09/2025 04:00</t>
  </si>
  <si>
    <t>12/09/2025 15:09</t>
  </si>
  <si>
    <t>BDMR/2025/0030</t>
  </si>
  <si>
    <t>13/09/2025 17:35</t>
  </si>
  <si>
    <t>13/09/2025 17:55</t>
  </si>
  <si>
    <t>14/09/2025 10:42</t>
  </si>
  <si>
    <t>VFON/2025/0034</t>
  </si>
  <si>
    <t>2534S/N</t>
  </si>
  <si>
    <t>15/09/2025 16:40</t>
  </si>
  <si>
    <t>15/09/2025 17:00</t>
  </si>
  <si>
    <t>16/09/2025 03:37</t>
  </si>
  <si>
    <t>VMPN/2025/0028</t>
  </si>
  <si>
    <t>15/09/2025 19:10</t>
  </si>
  <si>
    <t>15/09/2025 19:35</t>
  </si>
  <si>
    <t>16/09/2025 09:55</t>
  </si>
  <si>
    <t>BDNG/2025/0007</t>
  </si>
  <si>
    <t>2530S/2531N</t>
  </si>
  <si>
    <t>17/09/2025 12:30</t>
  </si>
  <si>
    <t>17/09/2025 12:40</t>
  </si>
  <si>
    <t>17/09/2025 22:36</t>
  </si>
  <si>
    <t>BDNA/2025/0030</t>
  </si>
  <si>
    <t>18/09/2025 08:55</t>
  </si>
  <si>
    <t>18/09/2025 09:15</t>
  </si>
  <si>
    <t>18/09/2025 20:26</t>
  </si>
  <si>
    <t>VFFT/2025/0031</t>
  </si>
  <si>
    <t>20/09/2025 02:50</t>
  </si>
  <si>
    <t>20/09/2025 03:30</t>
  </si>
  <si>
    <t>20/09/2025 17:08</t>
  </si>
  <si>
    <t>BDMR/2025/0031</t>
  </si>
  <si>
    <t>21/09/2025 13:00</t>
  </si>
  <si>
    <t>21/09/2025 13:25</t>
  </si>
  <si>
    <t>22/09/2025 04:44</t>
  </si>
  <si>
    <t>VFON/2025/0035</t>
  </si>
  <si>
    <t>2535S/N</t>
  </si>
  <si>
    <t>22/09/2025 21:35</t>
  </si>
  <si>
    <t>22/09/2025 22:00</t>
  </si>
  <si>
    <t>23/09/2025 08:45</t>
  </si>
  <si>
    <t>BDNA/2025/0031</t>
  </si>
  <si>
    <t>24/09/2025 14:15</t>
  </si>
  <si>
    <t>24/09/2025 14:40</t>
  </si>
  <si>
    <t>25/09/2025 03:21</t>
  </si>
  <si>
    <t>VMPN/2025/0029</t>
  </si>
  <si>
    <t>24/09/2025 16:10</t>
  </si>
  <si>
    <t>24/09/2025 16:35</t>
  </si>
  <si>
    <t>25/09/2025 05:40</t>
  </si>
  <si>
    <t>BDST/2025/0030</t>
  </si>
  <si>
    <t>25/09/2025 15:00</t>
  </si>
  <si>
    <t>25/09/2025 15:15</t>
  </si>
  <si>
    <t>26/09/2025 02:28</t>
  </si>
  <si>
    <t>BDNG/2025/0008</t>
  </si>
  <si>
    <t>2531S/2532N</t>
  </si>
  <si>
    <t>26/09/2025 22:20</t>
  </si>
  <si>
    <t>26/09/2025 22:35</t>
  </si>
  <si>
    <t>27/09/2025 08:48</t>
  </si>
  <si>
    <t>VFFT/2025/0032</t>
  </si>
  <si>
    <t>27/09/2025 03:10</t>
  </si>
  <si>
    <t>27/09/2025 03:45</t>
  </si>
  <si>
    <t>27/09/2025 15:10</t>
  </si>
  <si>
    <t>T10</t>
  </si>
  <si>
    <r>
      <t xml:space="preserve">Vessel </t>
    </r>
    <r>
      <rPr>
        <b/>
        <sz val="16"/>
        <color rgb="FFFF0000"/>
        <rFont val="Times New Roman"/>
        <family val="1"/>
      </rPr>
      <t>/ Tháng 10</t>
    </r>
  </si>
  <si>
    <t>VFON/2025/0036</t>
  </si>
  <si>
    <t>2536S/N</t>
  </si>
  <si>
    <t>02/10/2025 07:55</t>
  </si>
  <si>
    <t>02/10/2025 08:25</t>
  </si>
  <si>
    <t>02/10/2025 20:30</t>
  </si>
  <si>
    <t>BDMR/2025/0032</t>
  </si>
  <si>
    <t>02/10/2025 07:15</t>
  </si>
  <si>
    <t>03/10/2025 05:00</t>
  </si>
  <si>
    <t>BDNA/2025/0032</t>
  </si>
  <si>
    <t>02/10/2025 21:40</t>
  </si>
  <si>
    <t>03/10/2025 09:15</t>
  </si>
  <si>
    <t>04/10/2025 11:10</t>
  </si>
  <si>
    <t>VFFT/2025/0033</t>
  </si>
  <si>
    <t>04/10/2025 01:40</t>
  </si>
  <si>
    <t>04/10/2025 02:40</t>
  </si>
  <si>
    <t>04/10/2025 21:59</t>
  </si>
  <si>
    <t>BDST/2025/0031</t>
  </si>
  <si>
    <t>03/10/2025 23:55</t>
  </si>
  <si>
    <t>04/10/2025 00:30</t>
  </si>
  <si>
    <t>04/10/2025 22:44</t>
  </si>
  <si>
    <t>VMPN/2025/0030</t>
  </si>
  <si>
    <t>06/10/2025 12:40</t>
  </si>
  <si>
    <t>06/10/2025 13:00</t>
  </si>
  <si>
    <t>07/10/2025 03:13</t>
  </si>
  <si>
    <t>BDNG/2025/0009</t>
  </si>
  <si>
    <t>2532S/2533N</t>
  </si>
  <si>
    <t>07/10/2025 01:00</t>
  </si>
  <si>
    <t>07/10/2025 01:15</t>
  </si>
  <si>
    <t>07/10/2025 10:35</t>
  </si>
  <si>
    <t>VFON/2025/0037</t>
  </si>
  <si>
    <t>2537S/N</t>
  </si>
  <si>
    <t>10/10/2025 02:20</t>
  </si>
  <si>
    <t>10/10/2025 02:50</t>
  </si>
  <si>
    <t>10/10/2025 13:27</t>
  </si>
  <si>
    <t>BDMR/2025/0033</t>
  </si>
  <si>
    <t>10/10/2025 15:30</t>
  </si>
  <si>
    <t>10/10/2025 16:00</t>
  </si>
  <si>
    <t>11/10/2025 08:48</t>
  </si>
  <si>
    <t>BDST/2025/0032</t>
  </si>
  <si>
    <t>11/10/2025 15:15</t>
  </si>
  <si>
    <t>11/10/2025 15:40</t>
  </si>
  <si>
    <t>12/10/2025 02:47</t>
  </si>
  <si>
    <t>VFFT/2025/0034</t>
  </si>
  <si>
    <t>12/10/2025 09:15</t>
  </si>
  <si>
    <t>12/10/2025 09:40</t>
  </si>
  <si>
    <t>12/10/2025 21:22</t>
  </si>
  <si>
    <t>BDNA/2025/0033</t>
  </si>
  <si>
    <t>13/10/2025 02:10</t>
  </si>
  <si>
    <t>13/10/2025 02:30</t>
  </si>
  <si>
    <t>13/10/2025 16:56</t>
  </si>
  <si>
    <t>VMPN/2025/0031</t>
  </si>
  <si>
    <t>14/10/2025 04:45</t>
  </si>
  <si>
    <t>14/10/2025 05:30</t>
  </si>
  <si>
    <t>15/10/2025 02:16</t>
  </si>
  <si>
    <t>BDNG/2025/0010</t>
  </si>
  <si>
    <t>2533S/2534N</t>
  </si>
  <si>
    <t>16/10/2025 11:45</t>
  </si>
  <si>
    <t>16/10/2025 12:05</t>
  </si>
  <si>
    <t>16/10/2025 20:00</t>
  </si>
  <si>
    <t>VFON/2025/0038</t>
  </si>
  <si>
    <t>2538S/N</t>
  </si>
  <si>
    <t>17/10/2025 13:15</t>
  </si>
  <si>
    <t>17/10/2025 13:45</t>
  </si>
  <si>
    <t>BDMR/2025/0034</t>
  </si>
  <si>
    <t>18/10/2025 16:35</t>
  </si>
  <si>
    <t>18/10/2025 17:00</t>
  </si>
  <si>
    <t>19/10/2025 11:03</t>
  </si>
  <si>
    <t>BDST/2025/0033</t>
  </si>
  <si>
    <t>19/10/2025 04:50</t>
  </si>
  <si>
    <t>19/10/2025 05:30</t>
  </si>
  <si>
    <t>19/10/2025 19:28</t>
  </si>
  <si>
    <t>BDNA/2025/0034</t>
  </si>
  <si>
    <t>20/10/2025 01:30</t>
  </si>
  <si>
    <t>20/10/2025 02:00</t>
  </si>
  <si>
    <t>20/10/2025 21:46</t>
  </si>
  <si>
    <t>VFFT/2025/0035</t>
  </si>
  <si>
    <t>19/10/2025 12:40</t>
  </si>
  <si>
    <t>19/10/2025 13:00</t>
  </si>
  <si>
    <t>21/10/2025 02:48</t>
  </si>
  <si>
    <t>VMPN/2025/0032</t>
  </si>
  <si>
    <t>23/10/2025 14:55</t>
  </si>
  <si>
    <t>23/10/2025 15:35</t>
  </si>
  <si>
    <t>24/10/2025 05:13</t>
  </si>
  <si>
    <t>VFON/2025/0039</t>
  </si>
  <si>
    <t>2539S/N</t>
  </si>
  <si>
    <t>25/10/2025 16:35</t>
  </si>
  <si>
    <t>25/10/2025 17:05</t>
  </si>
  <si>
    <t>26/10/2025 04:40</t>
  </si>
  <si>
    <t>BDNG/2025/0011</t>
  </si>
  <si>
    <t>2534S/2535N</t>
  </si>
  <si>
    <t>27/10/2025 20:45</t>
  </si>
  <si>
    <t>27/10/2025 23:00</t>
  </si>
  <si>
    <t>28/10/2025 11:41</t>
  </si>
  <si>
    <t>BDMR/2025/0035</t>
  </si>
  <si>
    <t>28/10/2025 00:30</t>
  </si>
  <si>
    <t>28/10/2025 01:05</t>
  </si>
  <si>
    <t>28/10/2025 23:06</t>
  </si>
  <si>
    <t>VFFT/2025/0036</t>
  </si>
  <si>
    <t>28/10/2025 18:55</t>
  </si>
  <si>
    <t>28/10/2025 19:25</t>
  </si>
  <si>
    <t>29/10/2025 07:50</t>
  </si>
  <si>
    <t>BDNA/2025/0035</t>
  </si>
  <si>
    <t>29/10/2025 00:20</t>
  </si>
  <si>
    <t>29/10/2025 00:50</t>
  </si>
  <si>
    <t>29/10/2025 15:05</t>
  </si>
  <si>
    <t>BDST/2025/0034</t>
  </si>
  <si>
    <t>30/10/2025 19:10</t>
  </si>
  <si>
    <t>30/10/2025 19:30</t>
  </si>
  <si>
    <t>31/10/2025 08:50</t>
  </si>
  <si>
    <t>T11</t>
  </si>
  <si>
    <r>
      <t xml:space="preserve">Vessel / </t>
    </r>
    <r>
      <rPr>
        <b/>
        <sz val="16"/>
        <color rgb="FFFF0000"/>
        <rFont val="Times New Roman"/>
        <family val="1"/>
      </rPr>
      <t>Tháng 11</t>
    </r>
  </si>
  <si>
    <t>VFON/2025/0040</t>
  </si>
  <si>
    <t>2540S/N</t>
  </si>
  <si>
    <t>02/11/2025 12:25</t>
  </si>
  <si>
    <t>02/11/2025 12:55</t>
  </si>
  <si>
    <t>03/11/2025 00:43</t>
  </si>
  <si>
    <t>VMPN/2025/0033</t>
  </si>
  <si>
    <t>04/11/2025 12:10</t>
  </si>
  <si>
    <t>04/11/2025 12:35</t>
  </si>
  <si>
    <t>05/11/2025 03:38</t>
  </si>
  <si>
    <t>VFFT/2025/0037</t>
  </si>
  <si>
    <t>05/11/2025 02:40</t>
  </si>
  <si>
    <t>05/11/2025 03:15</t>
  </si>
  <si>
    <t>05/11/2025 17:44</t>
  </si>
  <si>
    <t>BDNA/2025/0036</t>
  </si>
  <si>
    <t>2535S/2536N</t>
  </si>
  <si>
    <t>07/11/2025 14:50</t>
  </si>
  <si>
    <t>07/11/2025 15:20</t>
  </si>
  <si>
    <t>08/11/2025 08:51</t>
  </si>
  <si>
    <t>BDMR/2025/0036</t>
  </si>
  <si>
    <t>07/11/2025 14:10</t>
  </si>
  <si>
    <t>07/11/2025 14:40</t>
  </si>
  <si>
    <t>08/11/2025 11:55</t>
  </si>
  <si>
    <t>BDST/2025/0035</t>
  </si>
  <si>
    <t>09/11/2025 04:20</t>
  </si>
  <si>
    <t>09/11/2025 04:40</t>
  </si>
  <si>
    <t>09/11/2025 19:15</t>
  </si>
  <si>
    <t>BDNG/2025/0012</t>
  </si>
  <si>
    <t>10/11/2025 04:30</t>
  </si>
  <si>
    <t>10/11/2025 04:45</t>
  </si>
  <si>
    <t>10/11/2025 16:54</t>
  </si>
  <si>
    <t>VFON/2025/0041</t>
  </si>
  <si>
    <t>2541S/N</t>
  </si>
  <si>
    <t>10/11/2025 05:45</t>
  </si>
  <si>
    <t>10/11/2025 06:15</t>
  </si>
  <si>
    <t>10/11/2025 17:45</t>
  </si>
  <si>
    <t>VFFT/2025/0038</t>
  </si>
  <si>
    <t>12/11/2025 21:45</t>
  </si>
  <si>
    <t>12/11/2025 22:15</t>
  </si>
  <si>
    <t>13/11/2025 10:09</t>
  </si>
  <si>
    <t>VMPN/2025/0034</t>
  </si>
  <si>
    <t>13/11/2025 08:10</t>
  </si>
  <si>
    <t>13/11/2025 08:40</t>
  </si>
  <si>
    <t>14/11/2025 12:42</t>
  </si>
  <si>
    <t>BDMR/2025/0037</t>
  </si>
  <si>
    <t>14/11/2025 03:50</t>
  </si>
  <si>
    <t>14/11/2025 04:50</t>
  </si>
  <si>
    <t>14/11/2025 20:00</t>
  </si>
  <si>
    <t>BDNA/2025/0037</t>
  </si>
  <si>
    <t>2536S/2537N</t>
  </si>
  <si>
    <t>16/11/2025 04:45</t>
  </si>
  <si>
    <t>16/11/2025 04:55</t>
  </si>
  <si>
    <t>16/11/2025 19:46</t>
  </si>
  <si>
    <t>BDST/2025/0036</t>
  </si>
  <si>
    <t>16/11/2025 11:45</t>
  </si>
  <si>
    <t>16/11/2025 12:10</t>
  </si>
  <si>
    <t>17/11/2025 00:56</t>
  </si>
  <si>
    <t>VFON/2025/0042</t>
  </si>
  <si>
    <t>2542S/N</t>
  </si>
  <si>
    <t>17/11/2025 15:05</t>
  </si>
  <si>
    <t>17/11/2025 15:30</t>
  </si>
  <si>
    <t>18/11/2025 03:01</t>
  </si>
  <si>
    <t>VFFT/2025/0039</t>
  </si>
  <si>
    <t>20/11/2025 13:10</t>
  </si>
  <si>
    <t>20/11/2025 13:15</t>
  </si>
  <si>
    <t>21/11/2025 02:13</t>
  </si>
  <si>
    <t>BDNG/2025/0013</t>
  </si>
  <si>
    <t>22/11/2025 14:00</t>
  </si>
  <si>
    <t>22/11/2025 14:20</t>
  </si>
  <si>
    <t>22/11/2025 23:13</t>
  </si>
  <si>
    <t>BDMR/2025/0038</t>
  </si>
  <si>
    <t>23/11/2025 20:35</t>
  </si>
  <si>
    <t>23/11/2025 21:20</t>
  </si>
  <si>
    <t>24/11/2025 16:14</t>
  </si>
  <si>
    <t>VMPN/2025/0035</t>
  </si>
  <si>
    <t>24/11/2025 03:30</t>
  </si>
  <si>
    <t>24/11/2025 04:05</t>
  </si>
  <si>
    <t>24/11/2025 20:26</t>
  </si>
  <si>
    <t>BDST/2025/0037</t>
  </si>
  <si>
    <t>2538S/2539N</t>
  </si>
  <si>
    <t>25/11/2025 03:00</t>
  </si>
  <si>
    <t>25/11/2025 03:25</t>
  </si>
  <si>
    <t>25/11/2025 17:27</t>
  </si>
  <si>
    <t>VFON/2025/0043</t>
  </si>
  <si>
    <t>2543S/N</t>
  </si>
  <si>
    <t>26/11/2025 07:55</t>
  </si>
  <si>
    <t>26/11/2025 08:20</t>
  </si>
  <si>
    <t>26/11/2025 19:22</t>
  </si>
  <si>
    <t>VFFT/2025/0040</t>
  </si>
  <si>
    <t>28/11/2025 22:10</t>
  </si>
  <si>
    <t>28/11/2025 22:35</t>
  </si>
  <si>
    <t>29/11/2025 12:27</t>
  </si>
  <si>
    <t>BDNA/2025/0038</t>
  </si>
  <si>
    <t>2537S/2538N</t>
  </si>
  <si>
    <t>29/11/2025 10:00</t>
  </si>
  <si>
    <t>29/11/2025 10:40</t>
  </si>
  <si>
    <t>29/11/2025 23:03</t>
  </si>
  <si>
    <t>T12</t>
  </si>
  <si>
    <r>
      <t xml:space="preserve">Vessel / </t>
    </r>
    <r>
      <rPr>
        <b/>
        <sz val="16"/>
        <color rgb="FFFF0000"/>
        <rFont val="Times New Roman"/>
        <family val="1"/>
      </rPr>
      <t>Tháng 12</t>
    </r>
  </si>
  <si>
    <t>BDST/2025/0038</t>
  </si>
  <si>
    <t>2539S/2540N</t>
  </si>
  <si>
    <t>01/12/2025 21:40</t>
  </si>
  <si>
    <t>01/12/2025 22:30</t>
  </si>
  <si>
    <t>02/12/2025 08:05</t>
  </si>
  <si>
    <t>BDMR/2025/0039</t>
  </si>
  <si>
    <t>03/12/2025 11:25</t>
  </si>
  <si>
    <t>03/12/2025 11:50</t>
  </si>
  <si>
    <t>04/12/2025 08:48</t>
  </si>
  <si>
    <t>VFON/2025/0044</t>
  </si>
  <si>
    <t>2544S/N</t>
  </si>
  <si>
    <t>04/12/2025 15:35</t>
  </si>
  <si>
    <t>04/12/2025 16:05</t>
  </si>
  <si>
    <t>05/12/2025 04:29</t>
  </si>
  <si>
    <t>VFFT/2025/0041</t>
  </si>
  <si>
    <t>06/12/2025 03:20</t>
  </si>
  <si>
    <t>06/12/2025 03:55</t>
  </si>
  <si>
    <t>06/12/2025 17:53</t>
  </si>
  <si>
    <t>BDNA/2025/0039</t>
  </si>
  <si>
    <t>07/12/2025 01:40</t>
  </si>
  <si>
    <t>07/12/2025 02:00</t>
  </si>
  <si>
    <t>07/12/2025 17:53</t>
  </si>
  <si>
    <t>VMPN/2025/0036</t>
  </si>
  <si>
    <t>07/12/2025 16:05</t>
  </si>
  <si>
    <t>07/12/2025 16:35</t>
  </si>
  <si>
    <t>08/12/2025 07:42</t>
  </si>
  <si>
    <t>BDNG/2025/0014</t>
  </si>
  <si>
    <t>07/12/2025 21:00</t>
  </si>
  <si>
    <t>07/12/2025 21:30</t>
  </si>
  <si>
    <t>08/12/2025 07:27</t>
  </si>
  <si>
    <t>BDST/2025/0039</t>
  </si>
  <si>
    <t>09/12/2025 18:20</t>
  </si>
  <si>
    <t>09/12/2025 18:40</t>
  </si>
  <si>
    <t>10/12/2025 07:56</t>
  </si>
  <si>
    <t>VFON/2025/0045</t>
  </si>
  <si>
    <t>2545S/N</t>
  </si>
  <si>
    <t>12/12/2025 12:30</t>
  </si>
  <si>
    <t>12/12/2025 12:55</t>
  </si>
  <si>
    <t>13/12/2025 00:59</t>
  </si>
  <si>
    <t>BDMR/2025/0040</t>
  </si>
  <si>
    <t>13/12/2025 02:00</t>
  </si>
  <si>
    <t>13/12/2025 02:30</t>
  </si>
  <si>
    <t>13/12/2025 21:38</t>
  </si>
  <si>
    <t>VFFT/2025/0042</t>
  </si>
  <si>
    <t>14/12/2025 04:05</t>
  </si>
  <si>
    <t>14/12/2025 04:35</t>
  </si>
  <si>
    <t>14/12/2025 20:58</t>
  </si>
  <si>
    <t>BDNA/2025/0040</t>
  </si>
  <si>
    <t>14/12/2025 09:40</t>
  </si>
  <si>
    <t>14/12/2025 10:10</t>
  </si>
  <si>
    <t>14/12/2025 22:02</t>
  </si>
  <si>
    <t>BDST/2025/0040</t>
  </si>
  <si>
    <t>17/12/2025 11:25</t>
  </si>
  <si>
    <t>17/12/2025 11:40</t>
  </si>
  <si>
    <t>18/12/2025 01:27</t>
  </si>
  <si>
    <t>VMPN/2025/0037</t>
  </si>
  <si>
    <t>18/12/2025 20:00</t>
  </si>
  <si>
    <t>18/12/2025 20:15</t>
  </si>
  <si>
    <t>19/12/2025 07:46</t>
  </si>
  <si>
    <t>VFON/2025/0046</t>
  </si>
  <si>
    <t>2546S/N</t>
  </si>
  <si>
    <t>20/12/2025 03:35</t>
  </si>
  <si>
    <t>20/12/2025 04:00</t>
  </si>
  <si>
    <t>20/12/2025 18:20</t>
  </si>
  <si>
    <t>VFFT/2025/0043</t>
  </si>
  <si>
    <t>22/12/2025 01:30</t>
  </si>
  <si>
    <t>22/12/2025 01:50</t>
  </si>
  <si>
    <t>22/12/2025 15:50</t>
  </si>
  <si>
    <t>BDMR/2025/0041</t>
  </si>
  <si>
    <t>22/12/2025 03:10</t>
  </si>
  <si>
    <t>22/12/2025 03:50</t>
  </si>
  <si>
    <t>23/12/2025 01:46</t>
  </si>
  <si>
    <t>BDNA/2025/0041</t>
  </si>
  <si>
    <t>2540S/2541N</t>
  </si>
  <si>
    <t>23/12/2025 02:35</t>
  </si>
  <si>
    <t>23/12/2025 03:05</t>
  </si>
  <si>
    <t>23/12/2025 17:34</t>
  </si>
  <si>
    <t>BDST/2025/0041</t>
  </si>
  <si>
    <t>25/12/2025 04:00</t>
  </si>
  <si>
    <t>25/12/2025 04:50</t>
  </si>
  <si>
    <t>25/12/2025 20:35</t>
  </si>
  <si>
    <t>VMPN/2025/0038</t>
  </si>
  <si>
    <t>28/12/2025 01:00</t>
  </si>
  <si>
    <t>28/12/2025 01:25</t>
  </si>
  <si>
    <t>28/12/2025 13:41</t>
  </si>
  <si>
    <t>VFON/2025/0047</t>
  </si>
  <si>
    <t>2547S/N</t>
  </si>
  <si>
    <t>28/12/2025 02:15</t>
  </si>
  <si>
    <t>28/12/2025 02:40</t>
  </si>
  <si>
    <t>28/12/2025 14:33</t>
  </si>
  <si>
    <t>VFFT/2025/0044</t>
  </si>
  <si>
    <t>30/12/2025 00:30</t>
  </si>
  <si>
    <t>30/12/2025 01:00</t>
  </si>
  <si>
    <t>30/12/2025 14:07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</si>
</sst>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hh]:mm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22"/>
      <color indexed="8"/>
      <name val="Times New Roman"/>
      <family val="1"/>
    </font>
    <font>
      <b/>
      <sz val="2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26"/>
      <color rgb="FFFF0000"/>
      <name val="Times New Roman"/>
      <family val="1"/>
    </font>
    <font>
      <b/>
      <sz val="14"/>
      <name val="Times New Roman"/>
      <family val="1"/>
    </font>
    <font>
      <sz val="11"/>
      <color indexed="8"/>
      <name val="Calibri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sz val="16"/>
      <color indexed="8"/>
      <name val="Times New Roman"/>
      <family val="1"/>
    </font>
    <font>
      <b/>
      <sz val="14"/>
      <color rgb="FFFF0000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C00000"/>
      <name val="Times New Roman"/>
      <family val="1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Times New Roman"/>
      <family val="1"/>
    </font>
    <font>
      <b/>
      <sz val="18"/>
      <color rgb="FFC00000"/>
      <name val="Times New Roman"/>
      <family val="1"/>
    </font>
    <font>
      <b/>
      <sz val="16"/>
      <color rgb="FFC00000"/>
      <name val="Times New Roman"/>
      <family val="1"/>
    </font>
    <font>
      <sz val="12"/>
      <color theme="8" tint="-0.499984740745262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6"/>
      <color rgb="FFC00000"/>
      <name val="Times New Roman"/>
      <family val="1"/>
    </font>
    <font>
      <b/>
      <sz val="16"/>
      <color rgb="FFFF0000"/>
      <name val="Times New Roman"/>
      <family val="1"/>
    </font>
    <font>
      <sz val="14"/>
      <color indexed="81"/>
      <name val="Tahoma"/>
      <family val="2"/>
    </font>
    <font>
      <sz val="12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E5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9D9F7"/>
        <bgColor indexed="64"/>
      </patternFill>
    </fill>
    <fill>
      <patternFill patternType="solid">
        <fgColor rgb="FF69FF69"/>
        <bgColor indexed="64"/>
      </patternFill>
    </fill>
    <fill>
      <patternFill patternType="solid">
        <fgColor rgb="FFD1F3FF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F6FDCF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97FFD5"/>
        <bgColor indexed="64"/>
      </patternFill>
    </fill>
    <fill>
      <patternFill patternType="solid">
        <fgColor rgb="FFEDCCC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E6"/>
        <bgColor indexed="64"/>
      </patternFill>
    </fill>
    <fill>
      <patternFill patternType="solid">
        <fgColor rgb="FFEAE8D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9B27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2FF85"/>
        <bgColor indexed="64"/>
      </patternFill>
    </fill>
  </fills>
  <borders count="1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1" fillId="3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3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20" fontId="6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20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 wrapText="1"/>
    </xf>
    <xf numFmtId="0" fontId="8" fillId="7" borderId="3" xfId="2" applyFont="1" applyFill="1" applyBorder="1" applyAlignment="1">
      <alignment horizontal="center" vertical="center"/>
    </xf>
    <xf numFmtId="22" fontId="8" fillId="7" borderId="3" xfId="2" applyNumberFormat="1" applyFont="1" applyFill="1" applyBorder="1" applyAlignment="1">
      <alignment horizontal="center" vertical="center"/>
    </xf>
    <xf numFmtId="22" fontId="8" fillId="7" borderId="5" xfId="2" applyNumberFormat="1" applyFont="1" applyFill="1" applyBorder="1" applyAlignment="1">
      <alignment horizontal="center" vertical="center"/>
    </xf>
    <xf numFmtId="20" fontId="7" fillId="7" borderId="6" xfId="2" applyNumberFormat="1" applyFont="1" applyFill="1" applyBorder="1" applyAlignment="1">
      <alignment horizontal="center" vertical="top" wrapText="1"/>
    </xf>
    <xf numFmtId="164" fontId="7" fillId="7" borderId="7" xfId="2" applyNumberFormat="1" applyFont="1" applyFill="1" applyBorder="1" applyAlignment="1">
      <alignment horizontal="center" vertical="top" wrapText="1"/>
    </xf>
    <xf numFmtId="20" fontId="7" fillId="7" borderId="7" xfId="2" applyNumberFormat="1" applyFont="1" applyFill="1" applyBorder="1" applyAlignment="1">
      <alignment horizontal="center" vertical="top" wrapText="1"/>
    </xf>
    <xf numFmtId="3" fontId="7" fillId="7" borderId="7" xfId="2" applyNumberFormat="1" applyFont="1" applyFill="1" applyBorder="1" applyAlignment="1">
      <alignment horizontal="center" vertical="top" wrapText="1"/>
    </xf>
    <xf numFmtId="3" fontId="7" fillId="7" borderId="8" xfId="2" applyNumberFormat="1" applyFont="1" applyFill="1" applyBorder="1" applyAlignment="1">
      <alignment horizontal="center" vertical="top" wrapText="1"/>
    </xf>
    <xf numFmtId="0" fontId="10" fillId="7" borderId="9" xfId="2" applyFont="1" applyFill="1" applyBorder="1" applyAlignment="1">
      <alignment horizontal="center" vertical="center"/>
    </xf>
    <xf numFmtId="3" fontId="12" fillId="5" borderId="10" xfId="1" applyNumberFormat="1" applyFont="1" applyFill="1" applyBorder="1" applyAlignment="1">
      <alignment horizontal="center" vertical="center"/>
    </xf>
    <xf numFmtId="3" fontId="12" fillId="5" borderId="11" xfId="1" applyNumberFormat="1" applyFont="1" applyFill="1" applyBorder="1" applyAlignment="1">
      <alignment horizontal="center" vertical="center"/>
    </xf>
    <xf numFmtId="3" fontId="7" fillId="8" borderId="12" xfId="0" applyNumberFormat="1" applyFont="1" applyFill="1" applyBorder="1" applyAlignment="1">
      <alignment horizontal="center" vertical="center" wrapText="1"/>
    </xf>
    <xf numFmtId="3" fontId="7" fillId="8" borderId="1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4" borderId="15" xfId="2" applyFont="1" applyFill="1" applyBorder="1" applyAlignment="1">
      <alignment horizontal="center" vertical="center"/>
    </xf>
    <xf numFmtId="0" fontId="8" fillId="5" borderId="15" xfId="2" applyFont="1" applyFill="1" applyBorder="1" applyAlignment="1">
      <alignment horizontal="center" vertical="center"/>
    </xf>
    <xf numFmtId="0" fontId="8" fillId="6" borderId="16" xfId="2" applyFont="1" applyFill="1" applyBorder="1" applyAlignment="1">
      <alignment horizontal="center" vertical="center"/>
    </xf>
    <xf numFmtId="0" fontId="8" fillId="7" borderId="17" xfId="2" applyFont="1" applyFill="1" applyBorder="1" applyAlignment="1">
      <alignment horizontal="center" vertical="center"/>
    </xf>
    <xf numFmtId="0" fontId="8" fillId="7" borderId="16" xfId="2" applyFont="1" applyFill="1" applyBorder="1" applyAlignment="1">
      <alignment horizontal="center" vertical="center"/>
    </xf>
    <xf numFmtId="22" fontId="8" fillId="7" borderId="16" xfId="2" applyNumberFormat="1" applyFont="1" applyFill="1" applyBorder="1" applyAlignment="1">
      <alignment horizontal="center" vertical="center"/>
    </xf>
    <xf numFmtId="22" fontId="8" fillId="7" borderId="18" xfId="2" applyNumberFormat="1" applyFont="1" applyFill="1" applyBorder="1" applyAlignment="1">
      <alignment horizontal="center" vertical="center"/>
    </xf>
    <xf numFmtId="20" fontId="7" fillId="7" borderId="19" xfId="2" applyNumberFormat="1" applyFont="1" applyFill="1" applyBorder="1" applyAlignment="1">
      <alignment horizontal="center" vertical="top" wrapText="1"/>
    </xf>
    <xf numFmtId="164" fontId="7" fillId="7" borderId="20" xfId="2" applyNumberFormat="1" applyFont="1" applyFill="1" applyBorder="1" applyAlignment="1">
      <alignment horizontal="center" vertical="top" wrapText="1"/>
    </xf>
    <xf numFmtId="20" fontId="7" fillId="7" borderId="20" xfId="2" applyNumberFormat="1" applyFont="1" applyFill="1" applyBorder="1" applyAlignment="1">
      <alignment horizontal="center" vertical="top" wrapText="1"/>
    </xf>
    <xf numFmtId="3" fontId="7" fillId="7" borderId="20" xfId="2" applyNumberFormat="1" applyFont="1" applyFill="1" applyBorder="1" applyAlignment="1">
      <alignment horizontal="center" vertical="top" wrapText="1"/>
    </xf>
    <xf numFmtId="3" fontId="7" fillId="7" borderId="21" xfId="2" applyNumberFormat="1" applyFont="1" applyFill="1" applyBorder="1" applyAlignment="1">
      <alignment horizontal="center" vertical="top" wrapText="1"/>
    </xf>
    <xf numFmtId="0" fontId="10" fillId="7" borderId="22" xfId="2" applyFont="1" applyFill="1" applyBorder="1" applyAlignment="1">
      <alignment horizontal="center" vertical="center"/>
    </xf>
    <xf numFmtId="3" fontId="8" fillId="9" borderId="23" xfId="1" applyNumberFormat="1" applyFont="1" applyFill="1" applyBorder="1" applyAlignment="1">
      <alignment horizontal="center" vertical="center"/>
    </xf>
    <xf numFmtId="3" fontId="8" fillId="9" borderId="24" xfId="1" applyNumberFormat="1" applyFont="1" applyFill="1" applyBorder="1" applyAlignment="1">
      <alignment horizontal="center" vertical="center"/>
    </xf>
    <xf numFmtId="3" fontId="10" fillId="10" borderId="24" xfId="1" applyNumberFormat="1" applyFont="1" applyFill="1" applyBorder="1" applyAlignment="1">
      <alignment horizontal="center" vertical="center" wrapText="1"/>
    </xf>
    <xf numFmtId="3" fontId="10" fillId="10" borderId="25" xfId="1" applyNumberFormat="1" applyFont="1" applyFill="1" applyBorder="1" applyAlignment="1">
      <alignment horizontal="center" vertical="center" wrapText="1"/>
    </xf>
    <xf numFmtId="3" fontId="8" fillId="9" borderId="23" xfId="1" applyNumberFormat="1" applyFont="1" applyFill="1" applyBorder="1" applyAlignment="1">
      <alignment horizontal="center" vertical="center" wrapText="1"/>
    </xf>
    <xf numFmtId="3" fontId="10" fillId="10" borderId="26" xfId="1" applyNumberFormat="1" applyFont="1" applyFill="1" applyBorder="1" applyAlignment="1">
      <alignment horizontal="center" vertical="center" wrapText="1"/>
    </xf>
    <xf numFmtId="3" fontId="10" fillId="10" borderId="11" xfId="1" applyNumberFormat="1" applyFont="1" applyFill="1" applyBorder="1" applyAlignment="1">
      <alignment horizontal="center" vertical="center" wrapText="1"/>
    </xf>
    <xf numFmtId="3" fontId="10" fillId="11" borderId="26" xfId="1" applyNumberFormat="1" applyFont="1" applyFill="1" applyBorder="1" applyAlignment="1">
      <alignment horizontal="center" vertical="center" wrapText="1"/>
    </xf>
    <xf numFmtId="3" fontId="10" fillId="11" borderId="11" xfId="1" applyNumberFormat="1" applyFont="1" applyFill="1" applyBorder="1" applyAlignment="1">
      <alignment horizontal="center" vertical="center" wrapText="1"/>
    </xf>
    <xf numFmtId="3" fontId="10" fillId="12" borderId="26" xfId="1" applyNumberFormat="1" applyFont="1" applyFill="1" applyBorder="1" applyAlignment="1">
      <alignment horizontal="center" vertical="center" wrapText="1"/>
    </xf>
    <xf numFmtId="3" fontId="10" fillId="12" borderId="11" xfId="1" applyNumberFormat="1" applyFont="1" applyFill="1" applyBorder="1" applyAlignment="1">
      <alignment horizontal="center" vertical="center" wrapText="1"/>
    </xf>
    <xf numFmtId="3" fontId="7" fillId="8" borderId="24" xfId="0" applyNumberFormat="1" applyFont="1" applyFill="1" applyBorder="1" applyAlignment="1">
      <alignment horizontal="center" vertical="center"/>
    </xf>
    <xf numFmtId="3" fontId="7" fillId="8" borderId="25" xfId="0" applyNumberFormat="1" applyFont="1" applyFill="1" applyBorder="1" applyAlignment="1">
      <alignment horizontal="center" vertical="center"/>
    </xf>
    <xf numFmtId="0" fontId="8" fillId="4" borderId="27" xfId="2" applyFont="1" applyFill="1" applyBorder="1" applyAlignment="1">
      <alignment horizontal="center" vertical="center"/>
    </xf>
    <xf numFmtId="0" fontId="8" fillId="5" borderId="27" xfId="2" applyFont="1" applyFill="1" applyBorder="1" applyAlignment="1">
      <alignment horizontal="center" vertical="center"/>
    </xf>
    <xf numFmtId="0" fontId="8" fillId="6" borderId="28" xfId="2" applyFont="1" applyFill="1" applyBorder="1" applyAlignment="1">
      <alignment horizontal="center" vertical="center"/>
    </xf>
    <xf numFmtId="0" fontId="8" fillId="7" borderId="29" xfId="2" applyFont="1" applyFill="1" applyBorder="1" applyAlignment="1">
      <alignment horizontal="center" vertical="center"/>
    </xf>
    <xf numFmtId="0" fontId="8" fillId="7" borderId="28" xfId="2" applyFont="1" applyFill="1" applyBorder="1" applyAlignment="1">
      <alignment horizontal="center" vertical="center"/>
    </xf>
    <xf numFmtId="22" fontId="8" fillId="7" borderId="28" xfId="2" applyNumberFormat="1" applyFont="1" applyFill="1" applyBorder="1" applyAlignment="1">
      <alignment horizontal="center" vertical="center"/>
    </xf>
    <xf numFmtId="22" fontId="8" fillId="7" borderId="30" xfId="2" applyNumberFormat="1" applyFont="1" applyFill="1" applyBorder="1" applyAlignment="1">
      <alignment horizontal="center" vertical="center"/>
    </xf>
    <xf numFmtId="0" fontId="10" fillId="7" borderId="31" xfId="2" applyFont="1" applyFill="1" applyBorder="1" applyAlignment="1">
      <alignment horizontal="center" vertical="center"/>
    </xf>
    <xf numFmtId="3" fontId="10" fillId="13" borderId="2" xfId="1" applyNumberFormat="1" applyFont="1" applyFill="1" applyBorder="1" applyAlignment="1">
      <alignment horizontal="center" vertical="center"/>
    </xf>
    <xf numFmtId="3" fontId="10" fillId="13" borderId="32" xfId="1" applyNumberFormat="1" applyFont="1" applyFill="1" applyBorder="1" applyAlignment="1">
      <alignment horizontal="center" vertical="center"/>
    </xf>
    <xf numFmtId="3" fontId="10" fillId="13" borderId="33" xfId="1" applyNumberFormat="1" applyFont="1" applyFill="1" applyBorder="1" applyAlignment="1">
      <alignment horizontal="center" vertical="center"/>
    </xf>
    <xf numFmtId="3" fontId="10" fillId="13" borderId="4" xfId="1" applyNumberFormat="1" applyFont="1" applyFill="1" applyBorder="1" applyAlignment="1">
      <alignment horizontal="center" vertical="center"/>
    </xf>
    <xf numFmtId="3" fontId="15" fillId="14" borderId="34" xfId="1" applyNumberFormat="1" applyFont="1" applyFill="1" applyBorder="1" applyAlignment="1">
      <alignment horizontal="center" vertical="center"/>
    </xf>
    <xf numFmtId="3" fontId="15" fillId="14" borderId="35" xfId="1" applyNumberFormat="1" applyFont="1" applyFill="1" applyBorder="1" applyAlignment="1">
      <alignment horizontal="center" vertical="center"/>
    </xf>
    <xf numFmtId="3" fontId="10" fillId="15" borderId="12" xfId="1" applyNumberFormat="1" applyFont="1" applyFill="1" applyBorder="1" applyAlignment="1">
      <alignment horizontal="center" vertical="center"/>
    </xf>
    <xf numFmtId="3" fontId="10" fillId="15" borderId="36" xfId="1" applyNumberFormat="1" applyFont="1" applyFill="1" applyBorder="1" applyAlignment="1">
      <alignment horizontal="center" vertical="center"/>
    </xf>
    <xf numFmtId="3" fontId="10" fillId="13" borderId="37" xfId="1" applyNumberFormat="1" applyFont="1" applyFill="1" applyBorder="1" applyAlignment="1">
      <alignment horizontal="center" vertical="center"/>
    </xf>
    <xf numFmtId="3" fontId="15" fillId="14" borderId="4" xfId="1" applyNumberFormat="1" applyFont="1" applyFill="1" applyBorder="1" applyAlignment="1">
      <alignment horizontal="center" vertical="center"/>
    </xf>
    <xf numFmtId="3" fontId="10" fillId="15" borderId="8" xfId="1" applyNumberFormat="1" applyFont="1" applyFill="1" applyBorder="1" applyAlignment="1">
      <alignment horizontal="center" vertical="center"/>
    </xf>
    <xf numFmtId="3" fontId="10" fillId="10" borderId="19" xfId="1" applyNumberFormat="1" applyFont="1" applyFill="1" applyBorder="1" applyAlignment="1">
      <alignment horizontal="center" vertical="center"/>
    </xf>
    <xf numFmtId="3" fontId="10" fillId="10" borderId="38" xfId="1" applyNumberFormat="1" applyFont="1" applyFill="1" applyBorder="1" applyAlignment="1">
      <alignment horizontal="center" vertical="center"/>
    </xf>
    <xf numFmtId="3" fontId="10" fillId="16" borderId="12" xfId="1" applyNumberFormat="1" applyFont="1" applyFill="1" applyBorder="1" applyAlignment="1">
      <alignment horizontal="center" vertical="center"/>
    </xf>
    <xf numFmtId="3" fontId="10" fillId="16" borderId="36" xfId="1" applyNumberFormat="1" applyFont="1" applyFill="1" applyBorder="1" applyAlignment="1">
      <alignment horizontal="center" vertical="center"/>
    </xf>
    <xf numFmtId="3" fontId="10" fillId="10" borderId="12" xfId="1" applyNumberFormat="1" applyFont="1" applyFill="1" applyBorder="1" applyAlignment="1">
      <alignment horizontal="center" vertical="center"/>
    </xf>
    <xf numFmtId="3" fontId="10" fillId="10" borderId="36" xfId="1" applyNumberFormat="1" applyFont="1" applyFill="1" applyBorder="1" applyAlignment="1">
      <alignment horizontal="center" vertical="center"/>
    </xf>
    <xf numFmtId="3" fontId="10" fillId="11" borderId="12" xfId="1" applyNumberFormat="1" applyFont="1" applyFill="1" applyBorder="1" applyAlignment="1">
      <alignment horizontal="center" vertical="center"/>
    </xf>
    <xf numFmtId="3" fontId="10" fillId="11" borderId="36" xfId="1" applyNumberFormat="1" applyFont="1" applyFill="1" applyBorder="1" applyAlignment="1">
      <alignment horizontal="center" vertical="center"/>
    </xf>
    <xf numFmtId="3" fontId="10" fillId="12" borderId="12" xfId="1" applyNumberFormat="1" applyFont="1" applyFill="1" applyBorder="1" applyAlignment="1">
      <alignment horizontal="center" vertical="center"/>
    </xf>
    <xf numFmtId="3" fontId="10" fillId="12" borderId="36" xfId="1" applyNumberFormat="1" applyFont="1" applyFill="1" applyBorder="1" applyAlignment="1">
      <alignment horizontal="center" vertical="center"/>
    </xf>
    <xf numFmtId="3" fontId="10" fillId="8" borderId="12" xfId="1" applyNumberFormat="1" applyFont="1" applyFill="1" applyBorder="1" applyAlignment="1">
      <alignment horizontal="center" vertical="center"/>
    </xf>
    <xf numFmtId="3" fontId="10" fillId="8" borderId="36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4" borderId="24" xfId="0" applyFont="1" applyFill="1" applyBorder="1" applyAlignment="1">
      <alignment horizontal="center" vertical="top"/>
    </xf>
    <xf numFmtId="0" fontId="17" fillId="5" borderId="24" xfId="0" applyFont="1" applyFill="1" applyBorder="1" applyAlignment="1">
      <alignment horizontal="center" vertical="top"/>
    </xf>
    <xf numFmtId="0" fontId="17" fillId="6" borderId="39" xfId="0" applyFont="1" applyFill="1" applyBorder="1" applyAlignment="1">
      <alignment horizontal="center" vertical="top"/>
    </xf>
    <xf numFmtId="0" fontId="17" fillId="7" borderId="1" xfId="0" applyFont="1" applyFill="1" applyBorder="1" applyAlignment="1">
      <alignment horizontal="center" vertical="top"/>
    </xf>
    <xf numFmtId="0" fontId="17" fillId="7" borderId="39" xfId="0" applyFont="1" applyFill="1" applyBorder="1" applyAlignment="1">
      <alignment horizontal="center" vertical="top"/>
    </xf>
    <xf numFmtId="22" fontId="17" fillId="7" borderId="39" xfId="0" applyNumberFormat="1" applyFont="1" applyFill="1" applyBorder="1" applyAlignment="1">
      <alignment horizontal="center" vertical="top"/>
    </xf>
    <xf numFmtId="22" fontId="17" fillId="7" borderId="40" xfId="0" applyNumberFormat="1" applyFont="1" applyFill="1" applyBorder="1" applyAlignment="1">
      <alignment horizontal="center" vertical="top"/>
    </xf>
    <xf numFmtId="20" fontId="17" fillId="7" borderId="24" xfId="0" applyNumberFormat="1" applyFont="1" applyFill="1" applyBorder="1" applyAlignment="1">
      <alignment horizontal="center" vertical="top"/>
    </xf>
    <xf numFmtId="164" fontId="17" fillId="7" borderId="41" xfId="0" applyNumberFormat="1" applyFont="1" applyFill="1" applyBorder="1" applyAlignment="1">
      <alignment horizontal="center" vertical="top"/>
    </xf>
    <xf numFmtId="20" fontId="17" fillId="7" borderId="41" xfId="0" applyNumberFormat="1" applyFont="1" applyFill="1" applyBorder="1" applyAlignment="1">
      <alignment horizontal="center" vertical="top"/>
    </xf>
    <xf numFmtId="3" fontId="17" fillId="7" borderId="41" xfId="0" applyNumberFormat="1" applyFont="1" applyFill="1" applyBorder="1" applyAlignment="1">
      <alignment horizontal="center" vertical="top"/>
    </xf>
    <xf numFmtId="0" fontId="10" fillId="7" borderId="23" xfId="0" applyFont="1" applyFill="1" applyBorder="1" applyAlignment="1">
      <alignment horizontal="center" vertical="top"/>
    </xf>
    <xf numFmtId="3" fontId="10" fillId="17" borderId="42" xfId="1" applyNumberFormat="1" applyFont="1" applyFill="1" applyBorder="1" applyAlignment="1">
      <alignment horizontal="center" vertical="top"/>
    </xf>
    <xf numFmtId="3" fontId="10" fillId="17" borderId="43" xfId="1" applyNumberFormat="1" applyFont="1" applyFill="1" applyBorder="1" applyAlignment="1">
      <alignment horizontal="center" vertical="top"/>
    </xf>
    <xf numFmtId="3" fontId="10" fillId="17" borderId="44" xfId="1" applyNumberFormat="1" applyFont="1" applyFill="1" applyBorder="1" applyAlignment="1">
      <alignment horizontal="center" vertical="top"/>
    </xf>
    <xf numFmtId="3" fontId="10" fillId="17" borderId="45" xfId="1" applyNumberFormat="1" applyFont="1" applyFill="1" applyBorder="1" applyAlignment="1">
      <alignment horizontal="center" vertical="top"/>
    </xf>
    <xf numFmtId="3" fontId="18" fillId="17" borderId="46" xfId="1" applyNumberFormat="1" applyFont="1" applyFill="1" applyBorder="1" applyAlignment="1">
      <alignment horizontal="center" vertical="top"/>
    </xf>
    <xf numFmtId="3" fontId="18" fillId="17" borderId="47" xfId="1" applyNumberFormat="1" applyFont="1" applyFill="1" applyBorder="1" applyAlignment="1">
      <alignment horizontal="center" vertical="top"/>
    </xf>
    <xf numFmtId="3" fontId="10" fillId="15" borderId="24" xfId="1" applyNumberFormat="1" applyFont="1" applyFill="1" applyBorder="1" applyAlignment="1">
      <alignment horizontal="center" vertical="top"/>
    </xf>
    <xf numFmtId="3" fontId="10" fillId="15" borderId="40" xfId="1" applyNumberFormat="1" applyFont="1" applyFill="1" applyBorder="1" applyAlignment="1">
      <alignment horizontal="center" vertical="top"/>
    </xf>
    <xf numFmtId="3" fontId="10" fillId="17" borderId="48" xfId="1" applyNumberFormat="1" applyFont="1" applyFill="1" applyBorder="1" applyAlignment="1">
      <alignment horizontal="center" vertical="top"/>
    </xf>
    <xf numFmtId="3" fontId="18" fillId="17" borderId="49" xfId="1" applyNumberFormat="1" applyFont="1" applyFill="1" applyBorder="1" applyAlignment="1">
      <alignment horizontal="center" vertical="top"/>
    </xf>
    <xf numFmtId="3" fontId="10" fillId="15" borderId="41" xfId="1" applyNumberFormat="1" applyFont="1" applyFill="1" applyBorder="1" applyAlignment="1">
      <alignment horizontal="center" vertical="top"/>
    </xf>
    <xf numFmtId="3" fontId="10" fillId="10" borderId="50" xfId="1" applyNumberFormat="1" applyFont="1" applyFill="1" applyBorder="1" applyAlignment="1">
      <alignment horizontal="center" vertical="center"/>
    </xf>
    <xf numFmtId="3" fontId="10" fillId="10" borderId="40" xfId="1" applyNumberFormat="1" applyFont="1" applyFill="1" applyBorder="1" applyAlignment="1">
      <alignment horizontal="center" vertical="center"/>
    </xf>
    <xf numFmtId="3" fontId="10" fillId="16" borderId="24" xfId="1" applyNumberFormat="1" applyFont="1" applyFill="1" applyBorder="1" applyAlignment="1">
      <alignment horizontal="center" vertical="top"/>
    </xf>
    <xf numFmtId="3" fontId="10" fillId="16" borderId="40" xfId="1" applyNumberFormat="1" applyFont="1" applyFill="1" applyBorder="1" applyAlignment="1">
      <alignment horizontal="center" vertical="top"/>
    </xf>
    <xf numFmtId="3" fontId="10" fillId="10" borderId="24" xfId="1" applyNumberFormat="1" applyFont="1" applyFill="1" applyBorder="1" applyAlignment="1">
      <alignment horizontal="center" vertical="top"/>
    </xf>
    <xf numFmtId="3" fontId="10" fillId="10" borderId="40" xfId="1" applyNumberFormat="1" applyFont="1" applyFill="1" applyBorder="1" applyAlignment="1">
      <alignment horizontal="center" vertical="top"/>
    </xf>
    <xf numFmtId="3" fontId="10" fillId="11" borderId="24" xfId="1" applyNumberFormat="1" applyFont="1" applyFill="1" applyBorder="1" applyAlignment="1">
      <alignment horizontal="center" vertical="top"/>
    </xf>
    <xf numFmtId="3" fontId="10" fillId="11" borderId="40" xfId="1" applyNumberFormat="1" applyFont="1" applyFill="1" applyBorder="1" applyAlignment="1">
      <alignment horizontal="center" vertical="top"/>
    </xf>
    <xf numFmtId="3" fontId="10" fillId="12" borderId="24" xfId="1" applyNumberFormat="1" applyFont="1" applyFill="1" applyBorder="1" applyAlignment="1">
      <alignment horizontal="center" vertical="top"/>
    </xf>
    <xf numFmtId="3" fontId="10" fillId="12" borderId="40" xfId="1" applyNumberFormat="1" applyFont="1" applyFill="1" applyBorder="1" applyAlignment="1">
      <alignment horizontal="center" vertical="top"/>
    </xf>
    <xf numFmtId="3" fontId="10" fillId="8" borderId="24" xfId="1" applyNumberFormat="1" applyFont="1" applyFill="1" applyBorder="1" applyAlignment="1">
      <alignment horizontal="center" vertical="top"/>
    </xf>
    <xf numFmtId="3" fontId="10" fillId="8" borderId="40" xfId="1" applyNumberFormat="1" applyFont="1" applyFill="1" applyBorder="1" applyAlignment="1">
      <alignment horizontal="center" vertical="top"/>
    </xf>
    <xf numFmtId="0" fontId="16" fillId="0" borderId="0" xfId="0" applyFont="1" applyAlignment="1">
      <alignment vertical="top"/>
    </xf>
    <xf numFmtId="165" fontId="19" fillId="4" borderId="26" xfId="3" applyNumberFormat="1" applyFont="1" applyFill="1" applyBorder="1" applyAlignment="1">
      <alignment horizontal="center" vertical="top"/>
    </xf>
    <xf numFmtId="165" fontId="20" fillId="5" borderId="51" xfId="3" applyNumberFormat="1" applyFont="1" applyFill="1" applyBorder="1" applyAlignment="1">
      <alignment horizontal="center" vertical="top"/>
    </xf>
    <xf numFmtId="165" fontId="19" fillId="6" borderId="52" xfId="3" applyNumberFormat="1" applyFont="1" applyFill="1" applyBorder="1" applyAlignment="1">
      <alignment horizontal="center" vertical="top"/>
    </xf>
    <xf numFmtId="165" fontId="21" fillId="18" borderId="10" xfId="1" applyNumberFormat="1" applyFont="1" applyFill="1" applyBorder="1" applyAlignment="1">
      <alignment vertical="top"/>
    </xf>
    <xf numFmtId="165" fontId="10" fillId="18" borderId="10" xfId="1" applyNumberFormat="1" applyFont="1" applyFill="1" applyBorder="1" applyAlignment="1">
      <alignment vertical="top"/>
    </xf>
    <xf numFmtId="22" fontId="8" fillId="18" borderId="10" xfId="1" applyNumberFormat="1" applyFont="1" applyFill="1" applyBorder="1" applyAlignment="1">
      <alignment horizontal="center" vertical="top"/>
    </xf>
    <xf numFmtId="22" fontId="10" fillId="18" borderId="11" xfId="1" applyNumberFormat="1" applyFont="1" applyFill="1" applyBorder="1" applyAlignment="1">
      <alignment horizontal="center" vertical="top"/>
    </xf>
    <xf numFmtId="20" fontId="10" fillId="18" borderId="6" xfId="0" applyNumberFormat="1" applyFont="1" applyFill="1" applyBorder="1" applyAlignment="1">
      <alignment horizontal="center" vertical="top"/>
    </xf>
    <xf numFmtId="164" fontId="10" fillId="18" borderId="14" xfId="0" applyNumberFormat="1" applyFont="1" applyFill="1" applyBorder="1" applyAlignment="1">
      <alignment horizontal="center" vertical="top"/>
    </xf>
    <xf numFmtId="3" fontId="10" fillId="18" borderId="7" xfId="0" applyNumberFormat="1" applyFont="1" applyFill="1" applyBorder="1" applyAlignment="1">
      <alignment horizontal="center" vertical="top"/>
    </xf>
    <xf numFmtId="20" fontId="10" fillId="18" borderId="14" xfId="0" applyNumberFormat="1" applyFont="1" applyFill="1" applyBorder="1" applyAlignment="1">
      <alignment horizontal="center" vertical="top"/>
    </xf>
    <xf numFmtId="3" fontId="10" fillId="18" borderId="8" xfId="0" applyNumberFormat="1" applyFont="1" applyFill="1" applyBorder="1" applyAlignment="1">
      <alignment horizontal="center" vertical="top"/>
    </xf>
    <xf numFmtId="0" fontId="7" fillId="18" borderId="53" xfId="0" applyFont="1" applyFill="1" applyBorder="1" applyAlignment="1">
      <alignment horizontal="center" vertical="top"/>
    </xf>
    <xf numFmtId="3" fontId="10" fillId="19" borderId="24" xfId="1" applyNumberFormat="1" applyFont="1" applyFill="1" applyBorder="1" applyAlignment="1">
      <alignment horizontal="center" vertical="top"/>
    </xf>
    <xf numFmtId="3" fontId="10" fillId="19" borderId="54" xfId="1" applyNumberFormat="1" applyFont="1" applyFill="1" applyBorder="1" applyAlignment="1">
      <alignment horizontal="center" vertical="top"/>
    </xf>
    <xf numFmtId="3" fontId="10" fillId="19" borderId="55" xfId="1" applyNumberFormat="1" applyFont="1" applyFill="1" applyBorder="1" applyAlignment="1">
      <alignment horizontal="center" vertical="top"/>
    </xf>
    <xf numFmtId="3" fontId="10" fillId="19" borderId="1" xfId="1" applyNumberFormat="1" applyFont="1" applyFill="1" applyBorder="1" applyAlignment="1">
      <alignment horizontal="center" vertical="top"/>
    </xf>
    <xf numFmtId="3" fontId="18" fillId="19" borderId="56" xfId="1" applyNumberFormat="1" applyFont="1" applyFill="1" applyBorder="1" applyAlignment="1">
      <alignment horizontal="center" vertical="top"/>
    </xf>
    <xf numFmtId="3" fontId="18" fillId="19" borderId="25" xfId="1" applyNumberFormat="1" applyFont="1" applyFill="1" applyBorder="1" applyAlignment="1">
      <alignment horizontal="center" vertical="top"/>
    </xf>
    <xf numFmtId="3" fontId="10" fillId="18" borderId="24" xfId="1" applyNumberFormat="1" applyFont="1" applyFill="1" applyBorder="1" applyAlignment="1">
      <alignment horizontal="center" vertical="top"/>
    </xf>
    <xf numFmtId="3" fontId="10" fillId="18" borderId="40" xfId="1" applyNumberFormat="1" applyFont="1" applyFill="1" applyBorder="1" applyAlignment="1">
      <alignment horizontal="center" vertical="top"/>
    </xf>
    <xf numFmtId="3" fontId="10" fillId="19" borderId="57" xfId="1" applyNumberFormat="1" applyFont="1" applyFill="1" applyBorder="1" applyAlignment="1">
      <alignment horizontal="center" vertical="top"/>
    </xf>
    <xf numFmtId="3" fontId="18" fillId="19" borderId="55" xfId="1" applyNumberFormat="1" applyFont="1" applyFill="1" applyBorder="1" applyAlignment="1">
      <alignment horizontal="center" vertical="top"/>
    </xf>
    <xf numFmtId="165" fontId="4" fillId="0" borderId="0" xfId="1" applyNumberFormat="1" applyFont="1" applyFill="1" applyAlignment="1">
      <alignment vertical="center"/>
    </xf>
    <xf numFmtId="0" fontId="7" fillId="20" borderId="26" xfId="0" applyFont="1" applyFill="1" applyBorder="1" applyAlignment="1">
      <alignment horizontal="center" vertical="top"/>
    </xf>
    <xf numFmtId="0" fontId="7" fillId="20" borderId="51" xfId="0" applyFont="1" applyFill="1" applyBorder="1" applyAlignment="1">
      <alignment horizontal="center" vertical="top"/>
    </xf>
    <xf numFmtId="0" fontId="7" fillId="6" borderId="52" xfId="0" applyFont="1" applyFill="1" applyBorder="1" applyAlignment="1">
      <alignment horizontal="center" vertical="top"/>
    </xf>
    <xf numFmtId="165" fontId="8" fillId="20" borderId="10" xfId="1" applyNumberFormat="1" applyFont="1" applyFill="1" applyBorder="1" applyAlignment="1">
      <alignment horizontal="center" vertical="top"/>
    </xf>
    <xf numFmtId="165" fontId="22" fillId="20" borderId="10" xfId="1" applyNumberFormat="1" applyFont="1" applyFill="1" applyBorder="1" applyAlignment="1">
      <alignment horizontal="center" vertical="top"/>
    </xf>
    <xf numFmtId="0" fontId="10" fillId="20" borderId="58" xfId="0" applyFont="1" applyFill="1" applyBorder="1" applyAlignment="1">
      <alignment horizontal="center" vertical="top"/>
    </xf>
    <xf numFmtId="22" fontId="10" fillId="20" borderId="51" xfId="0" applyNumberFormat="1" applyFont="1" applyFill="1" applyBorder="1" applyAlignment="1">
      <alignment horizontal="center" vertical="top"/>
    </xf>
    <xf numFmtId="22" fontId="10" fillId="20" borderId="52" xfId="0" applyNumberFormat="1" applyFont="1" applyFill="1" applyBorder="1" applyAlignment="1">
      <alignment horizontal="center" vertical="top"/>
    </xf>
    <xf numFmtId="22" fontId="10" fillId="20" borderId="59" xfId="0" applyNumberFormat="1" applyFont="1" applyFill="1" applyBorder="1" applyAlignment="1">
      <alignment horizontal="center" vertical="top"/>
    </xf>
    <xf numFmtId="20" fontId="10" fillId="20" borderId="51" xfId="0" applyNumberFormat="1" applyFont="1" applyFill="1" applyBorder="1" applyAlignment="1">
      <alignment horizontal="center" vertical="top"/>
    </xf>
    <xf numFmtId="164" fontId="10" fillId="20" borderId="10" xfId="0" applyNumberFormat="1" applyFont="1" applyFill="1" applyBorder="1" applyAlignment="1">
      <alignment horizontal="center" vertical="top"/>
    </xf>
    <xf numFmtId="3" fontId="10" fillId="20" borderId="52" xfId="0" applyNumberFormat="1" applyFont="1" applyFill="1" applyBorder="1" applyAlignment="1">
      <alignment horizontal="center" vertical="top"/>
    </xf>
    <xf numFmtId="20" fontId="10" fillId="20" borderId="10" xfId="0" applyNumberFormat="1" applyFont="1" applyFill="1" applyBorder="1" applyAlignment="1">
      <alignment horizontal="center" vertical="top"/>
    </xf>
    <xf numFmtId="3" fontId="10" fillId="20" borderId="58" xfId="0" applyNumberFormat="1" applyFont="1" applyFill="1" applyBorder="1" applyAlignment="1">
      <alignment horizontal="center" vertical="top"/>
    </xf>
    <xf numFmtId="0" fontId="7" fillId="20" borderId="53" xfId="0" applyFont="1" applyFill="1" applyBorder="1" applyAlignment="1">
      <alignment horizontal="center" vertical="top"/>
    </xf>
    <xf numFmtId="3" fontId="8" fillId="20" borderId="26" xfId="1" applyNumberFormat="1" applyFont="1" applyFill="1" applyBorder="1" applyAlignment="1">
      <alignment horizontal="center" vertical="top"/>
    </xf>
    <xf numFmtId="3" fontId="8" fillId="20" borderId="60" xfId="1" applyNumberFormat="1" applyFont="1" applyFill="1" applyBorder="1" applyAlignment="1">
      <alignment horizontal="center" vertical="top"/>
    </xf>
    <xf numFmtId="3" fontId="8" fillId="20" borderId="61" xfId="1" applyNumberFormat="1" applyFont="1" applyFill="1" applyBorder="1" applyAlignment="1">
      <alignment horizontal="center" vertical="top"/>
    </xf>
    <xf numFmtId="3" fontId="8" fillId="20" borderId="10" xfId="1" applyNumberFormat="1" applyFont="1" applyFill="1" applyBorder="1" applyAlignment="1">
      <alignment horizontal="center" vertical="top"/>
    </xf>
    <xf numFmtId="3" fontId="23" fillId="20" borderId="62" xfId="1" applyNumberFormat="1" applyFont="1" applyFill="1" applyBorder="1" applyAlignment="1">
      <alignment horizontal="center" vertical="top"/>
    </xf>
    <xf numFmtId="3" fontId="23" fillId="20" borderId="63" xfId="1" applyNumberFormat="1" applyFont="1" applyFill="1" applyBorder="1" applyAlignment="1">
      <alignment horizontal="center" vertical="top"/>
    </xf>
    <xf numFmtId="3" fontId="8" fillId="20" borderId="59" xfId="1" applyNumberFormat="1" applyFont="1" applyFill="1" applyBorder="1" applyAlignment="1">
      <alignment horizontal="center" vertical="top"/>
    </xf>
    <xf numFmtId="3" fontId="8" fillId="20" borderId="63" xfId="1" applyNumberFormat="1" applyFont="1" applyFill="1" applyBorder="1" applyAlignment="1">
      <alignment horizontal="center" vertical="top"/>
    </xf>
    <xf numFmtId="165" fontId="4" fillId="0" borderId="0" xfId="1" applyNumberFormat="1" applyFont="1" applyFill="1" applyAlignment="1">
      <alignment vertical="top"/>
    </xf>
    <xf numFmtId="0" fontId="4" fillId="4" borderId="64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3" fillId="6" borderId="66" xfId="0" applyFont="1" applyFill="1" applyBorder="1" applyAlignment="1">
      <alignment horizontal="center" vertical="center"/>
    </xf>
    <xf numFmtId="0" fontId="10" fillId="0" borderId="67" xfId="0" applyFont="1" applyBorder="1" applyAlignment="1">
      <alignment horizontal="left" vertical="center"/>
    </xf>
    <xf numFmtId="0" fontId="24" fillId="0" borderId="68" xfId="0" applyFont="1" applyBorder="1" applyAlignment="1">
      <alignment horizontal="right" vertical="center"/>
    </xf>
    <xf numFmtId="0" fontId="3" fillId="0" borderId="69" xfId="0" applyFont="1" applyBorder="1" applyAlignment="1">
      <alignment horizontal="center" vertical="center"/>
    </xf>
    <xf numFmtId="22" fontId="3" fillId="0" borderId="70" xfId="1" applyNumberFormat="1" applyFont="1" applyFill="1" applyBorder="1" applyAlignment="1">
      <alignment horizontal="center" vertical="center"/>
    </xf>
    <xf numFmtId="22" fontId="3" fillId="0" borderId="71" xfId="1" applyNumberFormat="1" applyFont="1" applyFill="1" applyBorder="1" applyAlignment="1">
      <alignment horizontal="center" vertical="center"/>
    </xf>
    <xf numFmtId="22" fontId="3" fillId="0" borderId="72" xfId="1" applyNumberFormat="1" applyFont="1" applyFill="1" applyBorder="1" applyAlignment="1">
      <alignment horizontal="center" vertical="center"/>
    </xf>
    <xf numFmtId="20" fontId="3" fillId="0" borderId="73" xfId="0" applyNumberFormat="1" applyFont="1" applyBorder="1" applyAlignment="1">
      <alignment horizontal="center" vertical="center"/>
    </xf>
    <xf numFmtId="164" fontId="3" fillId="0" borderId="66" xfId="0" applyNumberFormat="1" applyFont="1" applyBorder="1" applyAlignment="1">
      <alignment horizontal="center" vertical="center"/>
    </xf>
    <xf numFmtId="20" fontId="3" fillId="0" borderId="66" xfId="0" applyNumberFormat="1" applyFont="1" applyBorder="1" applyAlignment="1">
      <alignment horizontal="center" vertical="center"/>
    </xf>
    <xf numFmtId="3" fontId="3" fillId="0" borderId="66" xfId="0" applyNumberFormat="1" applyFont="1" applyBorder="1" applyAlignment="1">
      <alignment horizontal="center" vertical="center"/>
    </xf>
    <xf numFmtId="3" fontId="3" fillId="0" borderId="74" xfId="0" applyNumberFormat="1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3" fontId="26" fillId="13" borderId="76" xfId="1" applyNumberFormat="1" applyFont="1" applyFill="1" applyBorder="1" applyAlignment="1">
      <alignment horizontal="center" vertical="center"/>
    </xf>
    <xf numFmtId="3" fontId="26" fillId="13" borderId="77" xfId="1" applyNumberFormat="1" applyFont="1" applyFill="1" applyBorder="1" applyAlignment="1">
      <alignment horizontal="center" vertical="center"/>
    </xf>
    <xf numFmtId="3" fontId="26" fillId="13" borderId="78" xfId="1" applyNumberFormat="1" applyFont="1" applyFill="1" applyBorder="1" applyAlignment="1">
      <alignment horizontal="center" vertical="center"/>
    </xf>
    <xf numFmtId="3" fontId="26" fillId="13" borderId="67" xfId="1" applyNumberFormat="1" applyFont="1" applyFill="1" applyBorder="1" applyAlignment="1">
      <alignment horizontal="center" vertical="center"/>
    </xf>
    <xf numFmtId="3" fontId="27" fillId="13" borderId="79" xfId="1" applyNumberFormat="1" applyFont="1" applyFill="1" applyBorder="1" applyAlignment="1">
      <alignment horizontal="center" vertical="center"/>
    </xf>
    <xf numFmtId="3" fontId="27" fillId="13" borderId="80" xfId="1" applyNumberFormat="1" applyFont="1" applyFill="1" applyBorder="1" applyAlignment="1">
      <alignment horizontal="center" vertical="center"/>
    </xf>
    <xf numFmtId="3" fontId="8" fillId="15" borderId="76" xfId="1" applyNumberFormat="1" applyFont="1" applyFill="1" applyBorder="1" applyAlignment="1">
      <alignment horizontal="center" vertical="center"/>
    </xf>
    <xf numFmtId="3" fontId="8" fillId="15" borderId="81" xfId="1" applyNumberFormat="1" applyFont="1" applyFill="1" applyBorder="1" applyAlignment="1">
      <alignment horizontal="center" vertical="center"/>
    </xf>
    <xf numFmtId="3" fontId="26" fillId="13" borderId="82" xfId="1" applyNumberFormat="1" applyFont="1" applyFill="1" applyBorder="1" applyAlignment="1">
      <alignment horizontal="center" vertical="center"/>
    </xf>
    <xf numFmtId="3" fontId="27" fillId="13" borderId="83" xfId="1" applyNumberFormat="1" applyFont="1" applyFill="1" applyBorder="1" applyAlignment="1">
      <alignment horizontal="center" vertical="center"/>
    </xf>
    <xf numFmtId="3" fontId="8" fillId="10" borderId="84" xfId="1" applyNumberFormat="1" applyFont="1" applyFill="1" applyBorder="1" applyAlignment="1">
      <alignment horizontal="center" vertical="center"/>
    </xf>
    <xf numFmtId="3" fontId="8" fillId="10" borderId="81" xfId="1" applyNumberFormat="1" applyFont="1" applyFill="1" applyBorder="1" applyAlignment="1">
      <alignment horizontal="center" vertical="center"/>
    </xf>
    <xf numFmtId="3" fontId="8" fillId="16" borderId="76" xfId="1" applyNumberFormat="1" applyFont="1" applyFill="1" applyBorder="1" applyAlignment="1">
      <alignment horizontal="center" vertical="center"/>
    </xf>
    <xf numFmtId="3" fontId="8" fillId="16" borderId="81" xfId="1" applyNumberFormat="1" applyFont="1" applyFill="1" applyBorder="1" applyAlignment="1">
      <alignment horizontal="center" vertical="center"/>
    </xf>
    <xf numFmtId="3" fontId="8" fillId="10" borderId="76" xfId="1" applyNumberFormat="1" applyFont="1" applyFill="1" applyBorder="1" applyAlignment="1">
      <alignment horizontal="center" vertical="center"/>
    </xf>
    <xf numFmtId="3" fontId="8" fillId="11" borderId="84" xfId="1" applyNumberFormat="1" applyFont="1" applyFill="1" applyBorder="1" applyAlignment="1">
      <alignment horizontal="center" vertical="center"/>
    </xf>
    <xf numFmtId="3" fontId="8" fillId="11" borderId="81" xfId="1" applyNumberFormat="1" applyFont="1" applyFill="1" applyBorder="1" applyAlignment="1">
      <alignment horizontal="center" vertical="center"/>
    </xf>
    <xf numFmtId="3" fontId="8" fillId="12" borderId="84" xfId="1" applyNumberFormat="1" applyFont="1" applyFill="1" applyBorder="1" applyAlignment="1">
      <alignment horizontal="center" vertical="center"/>
    </xf>
    <xf numFmtId="3" fontId="8" fillId="12" borderId="81" xfId="1" applyNumberFormat="1" applyFont="1" applyFill="1" applyBorder="1" applyAlignment="1">
      <alignment horizontal="center" vertical="center"/>
    </xf>
    <xf numFmtId="3" fontId="8" fillId="8" borderId="64" xfId="1" applyNumberFormat="1" applyFont="1" applyFill="1" applyBorder="1" applyAlignment="1">
      <alignment horizontal="center" vertical="center"/>
    </xf>
    <xf numFmtId="3" fontId="8" fillId="8" borderId="74" xfId="1" applyNumberFormat="1" applyFont="1" applyFill="1" applyBorder="1" applyAlignment="1">
      <alignment horizontal="center" vertical="center"/>
    </xf>
    <xf numFmtId="0" fontId="4" fillId="4" borderId="76" xfId="0" applyFont="1" applyFill="1" applyBorder="1" applyAlignment="1">
      <alignment horizontal="center" vertical="center"/>
    </xf>
    <xf numFmtId="0" fontId="17" fillId="0" borderId="67" xfId="0" applyFont="1" applyBorder="1" applyAlignment="1">
      <alignment horizontal="left" vertical="center"/>
    </xf>
    <xf numFmtId="22" fontId="3" fillId="0" borderId="85" xfId="1" applyNumberFormat="1" applyFont="1" applyFill="1" applyBorder="1" applyAlignment="1">
      <alignment horizontal="center" vertical="center"/>
    </xf>
    <xf numFmtId="22" fontId="3" fillId="0" borderId="68" xfId="1" applyNumberFormat="1" applyFont="1" applyFill="1" applyBorder="1" applyAlignment="1">
      <alignment horizontal="center" vertical="center"/>
    </xf>
    <xf numFmtId="22" fontId="3" fillId="0" borderId="81" xfId="1" applyNumberFormat="1" applyFont="1" applyFill="1" applyBorder="1" applyAlignment="1">
      <alignment horizontal="center" vertical="center"/>
    </xf>
    <xf numFmtId="3" fontId="27" fillId="13" borderId="86" xfId="1" applyNumberFormat="1" applyFont="1" applyFill="1" applyBorder="1" applyAlignment="1">
      <alignment horizontal="center" vertical="center"/>
    </xf>
    <xf numFmtId="3" fontId="27" fillId="13" borderId="87" xfId="1" applyNumberFormat="1" applyFont="1" applyFill="1" applyBorder="1" applyAlignment="1">
      <alignment horizontal="center" vertical="center"/>
    </xf>
    <xf numFmtId="3" fontId="27" fillId="13" borderId="88" xfId="1" applyNumberFormat="1" applyFont="1" applyFill="1" applyBorder="1" applyAlignment="1">
      <alignment horizontal="center" vertical="center"/>
    </xf>
    <xf numFmtId="164" fontId="3" fillId="0" borderId="68" xfId="0" applyNumberFormat="1" applyFont="1" applyBorder="1" applyAlignment="1">
      <alignment horizontal="center" vertical="center"/>
    </xf>
    <xf numFmtId="20" fontId="3" fillId="0" borderId="85" xfId="0" applyNumberFormat="1" applyFont="1" applyBorder="1" applyAlignment="1">
      <alignment horizontal="center" vertical="center"/>
    </xf>
    <xf numFmtId="22" fontId="3" fillId="0" borderId="73" xfId="1" applyNumberFormat="1" applyFont="1" applyFill="1" applyBorder="1" applyAlignment="1">
      <alignment horizontal="center" vertical="center"/>
    </xf>
    <xf numFmtId="22" fontId="3" fillId="0" borderId="66" xfId="1" applyNumberFormat="1" applyFont="1" applyFill="1" applyBorder="1" applyAlignment="1">
      <alignment horizontal="center" vertical="center"/>
    </xf>
    <xf numFmtId="22" fontId="3" fillId="0" borderId="74" xfId="1" applyNumberFormat="1" applyFont="1" applyFill="1" applyBorder="1" applyAlignment="1">
      <alignment horizontal="center" vertical="center"/>
    </xf>
    <xf numFmtId="0" fontId="25" fillId="0" borderId="89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20" fontId="3" fillId="0" borderId="68" xfId="0" applyNumberFormat="1" applyFont="1" applyBorder="1" applyAlignment="1">
      <alignment horizontal="center" vertical="center"/>
    </xf>
    <xf numFmtId="3" fontId="3" fillId="0" borderId="68" xfId="0" applyNumberFormat="1" applyFont="1" applyBorder="1" applyAlignment="1">
      <alignment horizontal="center" vertical="center"/>
    </xf>
    <xf numFmtId="3" fontId="3" fillId="0" borderId="81" xfId="0" applyNumberFormat="1" applyFont="1" applyBorder="1" applyAlignment="1">
      <alignment horizontal="center" vertical="center"/>
    </xf>
    <xf numFmtId="3" fontId="26" fillId="13" borderId="86" xfId="1" applyNumberFormat="1" applyFont="1" applyFill="1" applyBorder="1" applyAlignment="1">
      <alignment horizontal="center" vertical="center"/>
    </xf>
    <xf numFmtId="3" fontId="26" fillId="13" borderId="87" xfId="1" applyNumberFormat="1" applyFont="1" applyFill="1" applyBorder="1" applyAlignment="1">
      <alignment horizontal="center" vertical="center"/>
    </xf>
    <xf numFmtId="3" fontId="26" fillId="13" borderId="88" xfId="1" applyNumberFormat="1" applyFont="1" applyFill="1" applyBorder="1" applyAlignment="1">
      <alignment horizontal="center" vertical="center"/>
    </xf>
    <xf numFmtId="0" fontId="4" fillId="4" borderId="90" xfId="0" applyFont="1" applyFill="1" applyBorder="1" applyAlignment="1">
      <alignment horizontal="center" vertical="center"/>
    </xf>
    <xf numFmtId="22" fontId="3" fillId="0" borderId="91" xfId="0" applyNumberFormat="1" applyFont="1" applyBorder="1" applyAlignment="1">
      <alignment horizontal="center" vertical="center"/>
    </xf>
    <xf numFmtId="22" fontId="3" fillId="0" borderId="92" xfId="0" applyNumberFormat="1" applyFont="1" applyBorder="1" applyAlignment="1">
      <alignment horizontal="center" vertical="center"/>
    </xf>
    <xf numFmtId="22" fontId="3" fillId="0" borderId="93" xfId="0" applyNumberFormat="1" applyFont="1" applyBorder="1" applyAlignment="1">
      <alignment horizontal="center" vertical="center"/>
    </xf>
    <xf numFmtId="3" fontId="26" fillId="13" borderId="94" xfId="1" applyNumberFormat="1" applyFont="1" applyFill="1" applyBorder="1" applyAlignment="1">
      <alignment horizontal="center" vertical="center"/>
    </xf>
    <xf numFmtId="3" fontId="26" fillId="13" borderId="95" xfId="1" applyNumberFormat="1" applyFont="1" applyFill="1" applyBorder="1" applyAlignment="1">
      <alignment horizontal="center" vertical="center"/>
    </xf>
    <xf numFmtId="3" fontId="26" fillId="13" borderId="96" xfId="1" applyNumberFormat="1" applyFont="1" applyFill="1" applyBorder="1" applyAlignment="1">
      <alignment horizontal="center" vertical="center"/>
    </xf>
    <xf numFmtId="3" fontId="26" fillId="13" borderId="97" xfId="1" applyNumberFormat="1" applyFont="1" applyFill="1" applyBorder="1" applyAlignment="1">
      <alignment horizontal="center" vertical="center"/>
    </xf>
    <xf numFmtId="3" fontId="26" fillId="13" borderId="98" xfId="1" applyNumberFormat="1" applyFont="1" applyFill="1" applyBorder="1" applyAlignment="1">
      <alignment horizontal="center" vertical="center"/>
    </xf>
    <xf numFmtId="3" fontId="26" fillId="13" borderId="99" xfId="1" applyNumberFormat="1" applyFont="1" applyFill="1" applyBorder="1" applyAlignment="1">
      <alignment horizontal="center" vertical="center"/>
    </xf>
    <xf numFmtId="3" fontId="8" fillId="15" borderId="94" xfId="1" applyNumberFormat="1" applyFont="1" applyFill="1" applyBorder="1" applyAlignment="1">
      <alignment horizontal="center" vertical="center"/>
    </xf>
    <xf numFmtId="3" fontId="26" fillId="13" borderId="100" xfId="1" applyNumberFormat="1" applyFont="1" applyFill="1" applyBorder="1" applyAlignment="1">
      <alignment horizontal="center" vertical="center"/>
    </xf>
    <xf numFmtId="3" fontId="26" fillId="13" borderId="101" xfId="1" applyNumberFormat="1" applyFont="1" applyFill="1" applyBorder="1" applyAlignment="1">
      <alignment horizontal="center" vertical="center"/>
    </xf>
    <xf numFmtId="3" fontId="8" fillId="10" borderId="102" xfId="1" applyNumberFormat="1" applyFont="1" applyFill="1" applyBorder="1" applyAlignment="1">
      <alignment horizontal="center" vertical="center"/>
    </xf>
    <xf numFmtId="3" fontId="8" fillId="10" borderId="103" xfId="1" applyNumberFormat="1" applyFont="1" applyFill="1" applyBorder="1" applyAlignment="1">
      <alignment horizontal="center" vertical="center"/>
    </xf>
    <xf numFmtId="0" fontId="7" fillId="20" borderId="53" xfId="0" applyFont="1" applyFill="1" applyBorder="1" applyAlignment="1">
      <alignment horizontal="center" vertical="center"/>
    </xf>
    <xf numFmtId="0" fontId="7" fillId="6" borderId="104" xfId="0" applyFont="1" applyFill="1" applyBorder="1" applyAlignment="1">
      <alignment horizontal="center" vertical="center"/>
    </xf>
    <xf numFmtId="165" fontId="8" fillId="20" borderId="10" xfId="1" applyNumberFormat="1" applyFont="1" applyFill="1" applyBorder="1" applyAlignment="1">
      <alignment horizontal="center" vertical="center"/>
    </xf>
    <xf numFmtId="165" fontId="22" fillId="20" borderId="10" xfId="1" applyNumberFormat="1" applyFont="1" applyFill="1" applyBorder="1" applyAlignment="1">
      <alignment horizontal="center" vertical="center"/>
    </xf>
    <xf numFmtId="3" fontId="10" fillId="20" borderId="59" xfId="0" applyNumberFormat="1" applyFont="1" applyFill="1" applyBorder="1" applyAlignment="1">
      <alignment horizontal="center" vertical="top"/>
    </xf>
    <xf numFmtId="0" fontId="4" fillId="4" borderId="9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17" fillId="0" borderId="97" xfId="0" applyFont="1" applyBorder="1" applyAlignment="1">
      <alignment horizontal="left" vertical="center"/>
    </xf>
    <xf numFmtId="0" fontId="24" fillId="0" borderId="105" xfId="0" applyFont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22" fontId="3" fillId="0" borderId="106" xfId="1" applyNumberFormat="1" applyFont="1" applyFill="1" applyBorder="1" applyAlignment="1">
      <alignment horizontal="center" vertical="center"/>
    </xf>
    <xf numFmtId="22" fontId="3" fillId="0" borderId="105" xfId="1" applyNumberFormat="1" applyFont="1" applyFill="1" applyBorder="1" applyAlignment="1">
      <alignment horizontal="center" vertical="center"/>
    </xf>
    <xf numFmtId="22" fontId="3" fillId="0" borderId="103" xfId="1" applyNumberFormat="1" applyFont="1" applyFill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0" fontId="25" fillId="0" borderId="107" xfId="0" applyFont="1" applyBorder="1" applyAlignment="1">
      <alignment horizontal="center" vertical="center"/>
    </xf>
    <xf numFmtId="3" fontId="27" fillId="13" borderId="108" xfId="1" applyNumberFormat="1" applyFont="1" applyFill="1" applyBorder="1" applyAlignment="1">
      <alignment horizontal="center" vertical="center"/>
    </xf>
    <xf numFmtId="3" fontId="27" fillId="13" borderId="109" xfId="1" applyNumberFormat="1" applyFont="1" applyFill="1" applyBorder="1" applyAlignment="1">
      <alignment horizontal="center" vertical="center"/>
    </xf>
    <xf numFmtId="3" fontId="8" fillId="15" borderId="103" xfId="1" applyNumberFormat="1" applyFont="1" applyFill="1" applyBorder="1" applyAlignment="1">
      <alignment horizontal="center" vertical="center"/>
    </xf>
    <xf numFmtId="3" fontId="27" fillId="13" borderId="110" xfId="1" applyNumberFormat="1" applyFont="1" applyFill="1" applyBorder="1" applyAlignment="1">
      <alignment horizontal="center" vertical="center"/>
    </xf>
    <xf numFmtId="3" fontId="8" fillId="16" borderId="94" xfId="1" applyNumberFormat="1" applyFont="1" applyFill="1" applyBorder="1" applyAlignment="1">
      <alignment horizontal="center" vertical="center"/>
    </xf>
    <xf numFmtId="3" fontId="8" fillId="16" borderId="103" xfId="1" applyNumberFormat="1" applyFont="1" applyFill="1" applyBorder="1" applyAlignment="1">
      <alignment horizontal="center" vertical="center"/>
    </xf>
    <xf numFmtId="3" fontId="8" fillId="10" borderId="94" xfId="1" applyNumberFormat="1" applyFont="1" applyFill="1" applyBorder="1" applyAlignment="1">
      <alignment horizontal="center" vertical="center"/>
    </xf>
    <xf numFmtId="3" fontId="8" fillId="11" borderId="102" xfId="1" applyNumberFormat="1" applyFont="1" applyFill="1" applyBorder="1" applyAlignment="1">
      <alignment horizontal="center" vertical="center"/>
    </xf>
    <xf numFmtId="3" fontId="8" fillId="11" borderId="103" xfId="1" applyNumberFormat="1" applyFont="1" applyFill="1" applyBorder="1" applyAlignment="1">
      <alignment horizontal="center" vertical="center"/>
    </xf>
    <xf numFmtId="3" fontId="8" fillId="12" borderId="102" xfId="1" applyNumberFormat="1" applyFont="1" applyFill="1" applyBorder="1" applyAlignment="1">
      <alignment horizontal="center" vertical="center"/>
    </xf>
    <xf numFmtId="3" fontId="8" fillId="12" borderId="103" xfId="1" applyNumberFormat="1" applyFont="1" applyFill="1" applyBorder="1" applyAlignment="1">
      <alignment horizontal="center" vertical="center"/>
    </xf>
    <xf numFmtId="3" fontId="8" fillId="8" borderId="111" xfId="1" applyNumberFormat="1" applyFont="1" applyFill="1" applyBorder="1" applyAlignment="1">
      <alignment horizontal="center" vertical="center"/>
    </xf>
    <xf numFmtId="3" fontId="8" fillId="8" borderId="38" xfId="1" applyNumberFormat="1" applyFont="1" applyFill="1" applyBorder="1" applyAlignment="1">
      <alignment horizontal="center" vertical="center"/>
    </xf>
    <xf numFmtId="0" fontId="4" fillId="4" borderId="112" xfId="0" applyFont="1" applyFill="1" applyBorder="1" applyAlignment="1">
      <alignment horizontal="center" vertical="center"/>
    </xf>
    <xf numFmtId="0" fontId="3" fillId="6" borderId="68" xfId="0" applyFont="1" applyFill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3" fontId="8" fillId="8" borderId="76" xfId="1" applyNumberFormat="1" applyFont="1" applyFill="1" applyBorder="1" applyAlignment="1">
      <alignment horizontal="center" vertical="center"/>
    </xf>
    <xf numFmtId="3" fontId="8" fillId="8" borderId="81" xfId="1" applyNumberFormat="1" applyFont="1" applyFill="1" applyBorder="1" applyAlignment="1">
      <alignment horizontal="center" vertical="center"/>
    </xf>
    <xf numFmtId="3" fontId="26" fillId="13" borderId="113" xfId="1" applyNumberFormat="1" applyFont="1" applyFill="1" applyBorder="1" applyAlignment="1">
      <alignment horizontal="center" vertical="center"/>
    </xf>
    <xf numFmtId="3" fontId="26" fillId="13" borderId="114" xfId="1" applyNumberFormat="1" applyFont="1" applyFill="1" applyBorder="1" applyAlignment="1">
      <alignment horizontal="center" vertical="center"/>
    </xf>
    <xf numFmtId="3" fontId="27" fillId="13" borderId="115" xfId="1" applyNumberFormat="1" applyFont="1" applyFill="1" applyBorder="1" applyAlignment="1">
      <alignment horizontal="center" vertical="center"/>
    </xf>
    <xf numFmtId="3" fontId="27" fillId="13" borderId="116" xfId="1" applyNumberFormat="1" applyFont="1" applyFill="1" applyBorder="1" applyAlignment="1">
      <alignment horizontal="center" vertical="center"/>
    </xf>
    <xf numFmtId="3" fontId="8" fillId="15" borderId="64" xfId="1" applyNumberFormat="1" applyFont="1" applyFill="1" applyBorder="1" applyAlignment="1">
      <alignment horizontal="center" vertical="center"/>
    </xf>
    <xf numFmtId="3" fontId="8" fillId="15" borderId="74" xfId="1" applyNumberFormat="1" applyFont="1" applyFill="1" applyBorder="1" applyAlignment="1">
      <alignment horizontal="center" vertical="center"/>
    </xf>
    <xf numFmtId="3" fontId="26" fillId="13" borderId="64" xfId="1" applyNumberFormat="1" applyFont="1" applyFill="1" applyBorder="1" applyAlignment="1">
      <alignment horizontal="center" vertical="center"/>
    </xf>
    <xf numFmtId="3" fontId="26" fillId="13" borderId="117" xfId="1" applyNumberFormat="1" applyFont="1" applyFill="1" applyBorder="1" applyAlignment="1">
      <alignment horizontal="center" vertical="center"/>
    </xf>
    <xf numFmtId="3" fontId="26" fillId="13" borderId="118" xfId="1" applyNumberFormat="1" applyFont="1" applyFill="1" applyBorder="1" applyAlignment="1">
      <alignment horizontal="center" vertical="center"/>
    </xf>
    <xf numFmtId="3" fontId="27" fillId="13" borderId="119" xfId="1" applyNumberFormat="1" applyFont="1" applyFill="1" applyBorder="1" applyAlignment="1">
      <alignment horizontal="center" vertical="center"/>
    </xf>
    <xf numFmtId="3" fontId="8" fillId="10" borderId="69" xfId="1" applyNumberFormat="1" applyFont="1" applyFill="1" applyBorder="1" applyAlignment="1">
      <alignment horizontal="center" vertical="center"/>
    </xf>
    <xf numFmtId="3" fontId="8" fillId="10" borderId="74" xfId="1" applyNumberFormat="1" applyFont="1" applyFill="1" applyBorder="1" applyAlignment="1">
      <alignment horizontal="center" vertical="center"/>
    </xf>
    <xf numFmtId="3" fontId="8" fillId="16" borderId="64" xfId="1" applyNumberFormat="1" applyFont="1" applyFill="1" applyBorder="1" applyAlignment="1">
      <alignment horizontal="center" vertical="center"/>
    </xf>
    <xf numFmtId="3" fontId="8" fillId="16" borderId="74" xfId="1" applyNumberFormat="1" applyFont="1" applyFill="1" applyBorder="1" applyAlignment="1">
      <alignment horizontal="center" vertical="center"/>
    </xf>
    <xf numFmtId="3" fontId="8" fillId="10" borderId="64" xfId="1" applyNumberFormat="1" applyFont="1" applyFill="1" applyBorder="1" applyAlignment="1">
      <alignment horizontal="center" vertical="center"/>
    </xf>
    <xf numFmtId="3" fontId="8" fillId="11" borderId="69" xfId="1" applyNumberFormat="1" applyFont="1" applyFill="1" applyBorder="1" applyAlignment="1">
      <alignment horizontal="center" vertical="center"/>
    </xf>
    <xf numFmtId="3" fontId="8" fillId="11" borderId="74" xfId="1" applyNumberFormat="1" applyFont="1" applyFill="1" applyBorder="1" applyAlignment="1">
      <alignment horizontal="center" vertical="center"/>
    </xf>
    <xf numFmtId="3" fontId="8" fillId="12" borderId="69" xfId="1" applyNumberFormat="1" applyFont="1" applyFill="1" applyBorder="1" applyAlignment="1">
      <alignment horizontal="center" vertical="center"/>
    </xf>
    <xf numFmtId="3" fontId="8" fillId="12" borderId="74" xfId="1" applyNumberFormat="1" applyFont="1" applyFill="1" applyBorder="1" applyAlignment="1">
      <alignment horizontal="center" vertical="center"/>
    </xf>
    <xf numFmtId="0" fontId="17" fillId="0" borderId="114" xfId="0" applyFont="1" applyBorder="1" applyAlignment="1">
      <alignment horizontal="left" vertical="center"/>
    </xf>
    <xf numFmtId="0" fontId="24" fillId="0" borderId="66" xfId="0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4" fillId="0" borderId="85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22" fontId="3" fillId="0" borderId="106" xfId="0" applyNumberFormat="1" applyFont="1" applyBorder="1" applyAlignment="1">
      <alignment horizontal="center" vertical="center"/>
    </xf>
    <xf numFmtId="22" fontId="3" fillId="0" borderId="105" xfId="0" applyNumberFormat="1" applyFont="1" applyBorder="1" applyAlignment="1">
      <alignment horizontal="center" vertical="center"/>
    </xf>
    <xf numFmtId="22" fontId="3" fillId="0" borderId="103" xfId="0" applyNumberFormat="1" applyFont="1" applyBorder="1" applyAlignment="1">
      <alignment horizontal="center" vertical="center"/>
    </xf>
    <xf numFmtId="20" fontId="3" fillId="0" borderId="106" xfId="0" applyNumberFormat="1" applyFont="1" applyBorder="1" applyAlignment="1">
      <alignment horizontal="center" vertical="center"/>
    </xf>
    <xf numFmtId="164" fontId="3" fillId="0" borderId="105" xfId="0" applyNumberFormat="1" applyFont="1" applyBorder="1" applyAlignment="1">
      <alignment horizontal="center" vertical="center"/>
    </xf>
    <xf numFmtId="20" fontId="3" fillId="0" borderId="105" xfId="0" applyNumberFormat="1" applyFont="1" applyBorder="1" applyAlignment="1">
      <alignment horizontal="center" vertical="center"/>
    </xf>
    <xf numFmtId="3" fontId="3" fillId="0" borderId="105" xfId="0" applyNumberFormat="1" applyFont="1" applyBorder="1" applyAlignment="1">
      <alignment horizontal="center" vertical="center"/>
    </xf>
    <xf numFmtId="3" fontId="3" fillId="0" borderId="103" xfId="0" applyNumberFormat="1" applyFont="1" applyBorder="1" applyAlignment="1">
      <alignment horizontal="center" vertical="center"/>
    </xf>
    <xf numFmtId="0" fontId="7" fillId="20" borderId="26" xfId="0" applyFont="1" applyFill="1" applyBorder="1" applyAlignment="1">
      <alignment horizontal="center" vertical="center"/>
    </xf>
    <xf numFmtId="0" fontId="7" fillId="20" borderId="51" xfId="0" applyFont="1" applyFill="1" applyBorder="1" applyAlignment="1">
      <alignment horizontal="center" vertical="center"/>
    </xf>
    <xf numFmtId="165" fontId="13" fillId="20" borderId="10" xfId="1" applyNumberFormat="1" applyFont="1" applyFill="1" applyBorder="1" applyAlignment="1">
      <alignment horizontal="center" vertical="top"/>
    </xf>
    <xf numFmtId="0" fontId="7" fillId="20" borderId="11" xfId="0" applyFont="1" applyFill="1" applyBorder="1" applyAlignment="1">
      <alignment horizontal="center" vertical="top"/>
    </xf>
    <xf numFmtId="3" fontId="8" fillId="20" borderId="120" xfId="1" applyNumberFormat="1" applyFont="1" applyFill="1" applyBorder="1" applyAlignment="1">
      <alignment horizontal="center" vertical="top"/>
    </xf>
    <xf numFmtId="3" fontId="23" fillId="20" borderId="61" xfId="1" applyNumberFormat="1" applyFont="1" applyFill="1" applyBorder="1" applyAlignment="1">
      <alignment horizontal="center" vertical="top"/>
    </xf>
    <xf numFmtId="0" fontId="3" fillId="6" borderId="121" xfId="0" applyFont="1" applyFill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7" fillId="6" borderId="52" xfId="0" applyFont="1" applyFill="1" applyBorder="1" applyAlignment="1">
      <alignment horizontal="center" vertical="center"/>
    </xf>
    <xf numFmtId="0" fontId="3" fillId="0" borderId="0" xfId="0" applyFont="1"/>
    <xf numFmtId="22" fontId="10" fillId="20" borderId="58" xfId="0" applyNumberFormat="1" applyFont="1" applyFill="1" applyBorder="1" applyAlignment="1">
      <alignment horizontal="center" vertical="top"/>
    </xf>
    <xf numFmtId="3" fontId="8" fillId="20" borderId="123" xfId="1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2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1" applyNumberFormat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</cellXfs>
  <cellStyles count="4">
    <cellStyle name="Comma" xfId="1" builtinId="3"/>
    <cellStyle name="Good" xfId="2" builtinId="26"/>
    <cellStyle name="Hyperlink" xfId="3" builtinId="8"/>
    <cellStyle name="Normal" xfId="0" builtinId="0"/>
  </cellStyles>
  <dxfs count="36"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theme="6" tint="0.59996337778862885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AB0F1"/>
        </patternFill>
      </fill>
      <border>
        <top style="hair">
          <color auto="1"/>
        </top>
        <bottom style="hair">
          <color auto="1"/>
        </bottom>
      </border>
    </dxf>
    <dxf>
      <fill>
        <patternFill>
          <bgColor rgb="FFFFC000"/>
        </patternFill>
      </fill>
      <border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6D22-FDD9-445F-BF32-2575CF478A7C}">
  <sheetPr>
    <tabColor rgb="FF92D050"/>
  </sheetPr>
  <dimension ref="A1:BI396"/>
  <sheetViews>
    <sheetView showZeros="0" tabSelected="1" zoomScale="75" zoomScaleNormal="75" workbookViewId="0">
      <pane xSplit="18" ySplit="7" topLeftCell="Y8" activePane="bottomRight" state="frozen"/>
      <selection pane="topRight" activeCell="S1" sqref="S1"/>
      <selection pane="bottomLeft" activeCell="A8" sqref="A8"/>
      <selection pane="bottomRight" activeCell="BJ6" sqref="BJ6"/>
    </sheetView>
  </sheetViews>
  <sheetFormatPr defaultColWidth="8.44140625" defaultRowHeight="15.6" x14ac:dyDescent="0.3"/>
  <cols>
    <col min="1" max="1" width="9.5546875" style="328" bestFit="1" customWidth="1"/>
    <col min="2" max="2" width="4.6640625" style="328" hidden="1" customWidth="1"/>
    <col min="3" max="3" width="4.109375" style="329" customWidth="1"/>
    <col min="4" max="4" width="33.33203125" style="329" customWidth="1"/>
    <col min="5" max="5" width="11.6640625" style="328" hidden="1" customWidth="1"/>
    <col min="6" max="6" width="16.109375" style="328" customWidth="1"/>
    <col min="7" max="10" width="20.88671875" style="328" customWidth="1"/>
    <col min="11" max="11" width="10.88671875" style="330" hidden="1" customWidth="1"/>
    <col min="12" max="12" width="7.44140625" style="331" hidden="1" customWidth="1"/>
    <col min="13" max="14" width="7.44140625" style="330" hidden="1" customWidth="1"/>
    <col min="15" max="17" width="6.109375" style="332" hidden="1" customWidth="1"/>
    <col min="18" max="18" width="9.33203125" style="333" customWidth="1"/>
    <col min="19" max="19" width="9.109375" style="333" hidden="1" customWidth="1"/>
    <col min="20" max="20" width="9.33203125" style="333" hidden="1" customWidth="1"/>
    <col min="21" max="21" width="9.109375" style="333" hidden="1" customWidth="1"/>
    <col min="22" max="22" width="8.6640625" style="334" hidden="1" customWidth="1"/>
    <col min="23" max="24" width="5.5546875" style="334" hidden="1" customWidth="1"/>
    <col min="25" max="25" width="9.109375" style="334" bestFit="1" customWidth="1"/>
    <col min="26" max="26" width="10.33203125" style="333" bestFit="1" customWidth="1"/>
    <col min="27" max="27" width="9.109375" style="333" hidden="1" customWidth="1"/>
    <col min="28" max="28" width="7.6640625" style="333" hidden="1" customWidth="1"/>
    <col min="29" max="29" width="9.109375" style="333" hidden="1" customWidth="1"/>
    <col min="30" max="30" width="7.6640625" style="334" hidden="1" customWidth="1"/>
    <col min="31" max="31" width="3" style="334" hidden="1" customWidth="1"/>
    <col min="32" max="32" width="7.6640625" style="334" hidden="1" customWidth="1"/>
    <col min="33" max="33" width="9.109375" style="334" bestFit="1" customWidth="1"/>
    <col min="34" max="34" width="11" style="334" customWidth="1"/>
    <col min="35" max="35" width="10.5546875" style="334" bestFit="1" customWidth="1"/>
    <col min="36" max="36" width="10.5546875" style="333" bestFit="1" customWidth="1"/>
    <col min="37" max="37" width="4.33203125" style="333" hidden="1" customWidth="1"/>
    <col min="38" max="38" width="5.88671875" style="333" hidden="1" customWidth="1"/>
    <col min="39" max="39" width="7.6640625" style="333" hidden="1" customWidth="1"/>
    <col min="40" max="40" width="5.5546875" style="334" hidden="1" customWidth="1"/>
    <col min="41" max="41" width="5.88671875" style="334" hidden="1" customWidth="1"/>
    <col min="42" max="42" width="3" style="334" hidden="1" customWidth="1"/>
    <col min="43" max="43" width="7.6640625" style="334" hidden="1" customWidth="1"/>
    <col min="44" max="44" width="7.6640625" style="333" hidden="1" customWidth="1"/>
    <col min="45" max="45" width="4.33203125" style="333" hidden="1" customWidth="1"/>
    <col min="46" max="46" width="5.88671875" style="333" hidden="1" customWidth="1"/>
    <col min="47" max="47" width="7.6640625" style="333" hidden="1" customWidth="1"/>
    <col min="48" max="48" width="5.5546875" style="334" hidden="1" customWidth="1"/>
    <col min="49" max="49" width="5.88671875" style="334" hidden="1" customWidth="1"/>
    <col min="50" max="50" width="3" style="334" hidden="1" customWidth="1"/>
    <col min="51" max="52" width="7.6640625" style="334" hidden="1" customWidth="1"/>
    <col min="53" max="54" width="7.6640625" style="334" bestFit="1" customWidth="1"/>
    <col min="55" max="58" width="9.88671875" style="334" hidden="1" customWidth="1"/>
    <col min="59" max="59" width="11.88671875" style="334" customWidth="1"/>
    <col min="60" max="60" width="11.88671875" style="12" customWidth="1"/>
    <col min="61" max="61" width="13.44140625" style="12" customWidth="1"/>
    <col min="62" max="16384" width="8.44140625" style="12"/>
  </cols>
  <sheetData>
    <row r="1" spans="1:61" ht="44.25" hidden="1" customHeight="1" x14ac:dyDescent="0.3">
      <c r="A1" s="1"/>
      <c r="B1" s="2"/>
      <c r="C1" s="3"/>
      <c r="D1" s="4"/>
      <c r="E1" s="1"/>
      <c r="F1" s="1"/>
      <c r="G1" s="1"/>
      <c r="H1" s="1"/>
      <c r="I1" s="1"/>
      <c r="J1" s="1"/>
      <c r="K1" s="5" t="s">
        <v>0</v>
      </c>
      <c r="L1" s="6"/>
      <c r="M1" s="7"/>
      <c r="N1" s="7"/>
      <c r="O1" s="8"/>
      <c r="P1" s="8"/>
      <c r="Q1" s="9"/>
      <c r="R1" s="10"/>
      <c r="S1" s="10"/>
      <c r="T1" s="9"/>
      <c r="U1" s="10"/>
      <c r="V1" s="11"/>
      <c r="W1" s="11"/>
      <c r="X1" s="11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</row>
    <row r="2" spans="1:61" ht="6" customHeight="1" thickBot="1" x14ac:dyDescent="0.35">
      <c r="A2" s="1"/>
      <c r="B2" s="1"/>
      <c r="C2" s="13"/>
      <c r="D2" s="14"/>
      <c r="E2" s="14"/>
      <c r="F2" s="13"/>
      <c r="G2" s="13"/>
      <c r="H2" s="13"/>
      <c r="I2" s="13"/>
      <c r="J2" s="13"/>
      <c r="K2" s="15"/>
      <c r="L2" s="16"/>
      <c r="M2" s="15"/>
      <c r="N2" s="15"/>
      <c r="O2" s="17"/>
      <c r="P2" s="17"/>
      <c r="Q2" s="17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pans="1:61" s="35" customFormat="1" ht="27" customHeight="1" thickBot="1" x14ac:dyDescent="0.35">
      <c r="A3" s="18" t="s">
        <v>1</v>
      </c>
      <c r="B3" s="19" t="s">
        <v>2</v>
      </c>
      <c r="C3" s="20" t="s">
        <v>2</v>
      </c>
      <c r="D3" s="21" t="s">
        <v>3</v>
      </c>
      <c r="E3" s="22" t="s">
        <v>4</v>
      </c>
      <c r="F3" s="22" t="s">
        <v>5</v>
      </c>
      <c r="G3" s="23" t="s">
        <v>6</v>
      </c>
      <c r="H3" s="23" t="s">
        <v>7</v>
      </c>
      <c r="I3" s="23" t="s">
        <v>8</v>
      </c>
      <c r="J3" s="24" t="s">
        <v>9</v>
      </c>
      <c r="K3" s="25" t="s">
        <v>10</v>
      </c>
      <c r="L3" s="26" t="s">
        <v>11</v>
      </c>
      <c r="M3" s="27" t="s">
        <v>12</v>
      </c>
      <c r="N3" s="27" t="s">
        <v>13</v>
      </c>
      <c r="O3" s="28" t="s">
        <v>14</v>
      </c>
      <c r="P3" s="28" t="s">
        <v>15</v>
      </c>
      <c r="Q3" s="29" t="s">
        <v>16</v>
      </c>
      <c r="R3" s="30" t="s">
        <v>17</v>
      </c>
      <c r="S3" s="31" t="s">
        <v>18</v>
      </c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2"/>
      <c r="BG3" s="33" t="s">
        <v>19</v>
      </c>
      <c r="BH3" s="34"/>
    </row>
    <row r="4" spans="1:61" s="35" customFormat="1" ht="45.75" customHeight="1" thickBot="1" x14ac:dyDescent="0.35">
      <c r="A4" s="36"/>
      <c r="B4" s="37"/>
      <c r="C4" s="38"/>
      <c r="D4" s="39"/>
      <c r="E4" s="40"/>
      <c r="F4" s="40"/>
      <c r="G4" s="41"/>
      <c r="H4" s="41"/>
      <c r="I4" s="41"/>
      <c r="J4" s="42"/>
      <c r="K4" s="43"/>
      <c r="L4" s="44"/>
      <c r="M4" s="45"/>
      <c r="N4" s="45"/>
      <c r="O4" s="46"/>
      <c r="P4" s="46"/>
      <c r="Q4" s="47"/>
      <c r="R4" s="48"/>
      <c r="S4" s="49" t="s">
        <v>20</v>
      </c>
      <c r="T4" s="49"/>
      <c r="U4" s="49"/>
      <c r="V4" s="49"/>
      <c r="W4" s="49"/>
      <c r="X4" s="49"/>
      <c r="Y4" s="49"/>
      <c r="Z4" s="50"/>
      <c r="AA4" s="49" t="s">
        <v>21</v>
      </c>
      <c r="AB4" s="49"/>
      <c r="AC4" s="49"/>
      <c r="AD4" s="49"/>
      <c r="AE4" s="49"/>
      <c r="AF4" s="49"/>
      <c r="AG4" s="49"/>
      <c r="AH4" s="50"/>
      <c r="AI4" s="51" t="s">
        <v>22</v>
      </c>
      <c r="AJ4" s="52"/>
      <c r="AK4" s="53" t="s">
        <v>23</v>
      </c>
      <c r="AL4" s="49"/>
      <c r="AM4" s="49"/>
      <c r="AN4" s="49"/>
      <c r="AO4" s="49"/>
      <c r="AP4" s="49"/>
      <c r="AQ4" s="49"/>
      <c r="AR4" s="50"/>
      <c r="AS4" s="53" t="s">
        <v>24</v>
      </c>
      <c r="AT4" s="49"/>
      <c r="AU4" s="49"/>
      <c r="AV4" s="49"/>
      <c r="AW4" s="49"/>
      <c r="AX4" s="49"/>
      <c r="AY4" s="49"/>
      <c r="AZ4" s="50"/>
      <c r="BA4" s="54" t="s">
        <v>25</v>
      </c>
      <c r="BB4" s="55"/>
      <c r="BC4" s="56" t="s">
        <v>26</v>
      </c>
      <c r="BD4" s="57"/>
      <c r="BE4" s="58" t="s">
        <v>27</v>
      </c>
      <c r="BF4" s="59"/>
      <c r="BG4" s="60"/>
      <c r="BH4" s="61"/>
    </row>
    <row r="5" spans="1:61" s="93" customFormat="1" ht="28.5" customHeight="1" x14ac:dyDescent="0.3">
      <c r="A5" s="62"/>
      <c r="B5" s="63"/>
      <c r="C5" s="64"/>
      <c r="D5" s="65"/>
      <c r="E5" s="66"/>
      <c r="F5" s="66"/>
      <c r="G5" s="67"/>
      <c r="H5" s="67"/>
      <c r="I5" s="67"/>
      <c r="J5" s="68"/>
      <c r="K5" s="43"/>
      <c r="L5" s="44"/>
      <c r="M5" s="45"/>
      <c r="N5" s="45"/>
      <c r="O5" s="46"/>
      <c r="P5" s="46"/>
      <c r="Q5" s="47"/>
      <c r="R5" s="69"/>
      <c r="S5" s="70" t="s">
        <v>28</v>
      </c>
      <c r="T5" s="71"/>
      <c r="U5" s="72" t="s">
        <v>29</v>
      </c>
      <c r="V5" s="73"/>
      <c r="W5" s="74" t="s">
        <v>30</v>
      </c>
      <c r="X5" s="75" t="s">
        <v>31</v>
      </c>
      <c r="Y5" s="76" t="s">
        <v>32</v>
      </c>
      <c r="Z5" s="77" t="s">
        <v>33</v>
      </c>
      <c r="AA5" s="73" t="s">
        <v>28</v>
      </c>
      <c r="AB5" s="71"/>
      <c r="AC5" s="72" t="s">
        <v>29</v>
      </c>
      <c r="AD5" s="78"/>
      <c r="AE5" s="79" t="s">
        <v>30</v>
      </c>
      <c r="AF5" s="75" t="s">
        <v>31</v>
      </c>
      <c r="AG5" s="76" t="s">
        <v>32</v>
      </c>
      <c r="AH5" s="80" t="s">
        <v>33</v>
      </c>
      <c r="AI5" s="81" t="s">
        <v>32</v>
      </c>
      <c r="AJ5" s="82" t="s">
        <v>33</v>
      </c>
      <c r="AK5" s="70" t="s">
        <v>28</v>
      </c>
      <c r="AL5" s="71"/>
      <c r="AM5" s="72" t="s">
        <v>29</v>
      </c>
      <c r="AN5" s="73"/>
      <c r="AO5" s="74" t="s">
        <v>30</v>
      </c>
      <c r="AP5" s="75" t="s">
        <v>31</v>
      </c>
      <c r="AQ5" s="83" t="s">
        <v>32</v>
      </c>
      <c r="AR5" s="84" t="s">
        <v>33</v>
      </c>
      <c r="AS5" s="73" t="s">
        <v>28</v>
      </c>
      <c r="AT5" s="71"/>
      <c r="AU5" s="72" t="s">
        <v>29</v>
      </c>
      <c r="AV5" s="78"/>
      <c r="AW5" s="79" t="s">
        <v>30</v>
      </c>
      <c r="AX5" s="75" t="s">
        <v>31</v>
      </c>
      <c r="AY5" s="83" t="s">
        <v>32</v>
      </c>
      <c r="AZ5" s="84" t="s">
        <v>33</v>
      </c>
      <c r="BA5" s="85" t="s">
        <v>32</v>
      </c>
      <c r="BB5" s="86" t="s">
        <v>33</v>
      </c>
      <c r="BC5" s="87" t="s">
        <v>32</v>
      </c>
      <c r="BD5" s="88" t="s">
        <v>33</v>
      </c>
      <c r="BE5" s="89" t="s">
        <v>32</v>
      </c>
      <c r="BF5" s="90" t="s">
        <v>33</v>
      </c>
      <c r="BG5" s="91" t="s">
        <v>32</v>
      </c>
      <c r="BH5" s="92" t="s">
        <v>33</v>
      </c>
    </row>
    <row r="6" spans="1:61" s="129" customFormat="1" ht="24.75" customHeight="1" thickBot="1" x14ac:dyDescent="0.35">
      <c r="A6" s="94"/>
      <c r="B6" s="95"/>
      <c r="C6" s="96"/>
      <c r="D6" s="97"/>
      <c r="E6" s="98"/>
      <c r="F6" s="98"/>
      <c r="G6" s="99"/>
      <c r="H6" s="99"/>
      <c r="I6" s="99"/>
      <c r="J6" s="100"/>
      <c r="K6" s="101"/>
      <c r="L6" s="102"/>
      <c r="M6" s="103"/>
      <c r="N6" s="103"/>
      <c r="O6" s="104"/>
      <c r="P6" s="104"/>
      <c r="Q6" s="104"/>
      <c r="R6" s="105"/>
      <c r="S6" s="106" t="s">
        <v>34</v>
      </c>
      <c r="T6" s="107" t="s">
        <v>35</v>
      </c>
      <c r="U6" s="108" t="s">
        <v>34</v>
      </c>
      <c r="V6" s="109" t="s">
        <v>35</v>
      </c>
      <c r="W6" s="110" t="s">
        <v>34</v>
      </c>
      <c r="X6" s="111" t="s">
        <v>34</v>
      </c>
      <c r="Y6" s="112"/>
      <c r="Z6" s="113"/>
      <c r="AA6" s="109" t="s">
        <v>34</v>
      </c>
      <c r="AB6" s="107" t="s">
        <v>35</v>
      </c>
      <c r="AC6" s="108" t="s">
        <v>34</v>
      </c>
      <c r="AD6" s="114" t="s">
        <v>35</v>
      </c>
      <c r="AE6" s="115" t="s">
        <v>34</v>
      </c>
      <c r="AF6" s="111" t="s">
        <v>34</v>
      </c>
      <c r="AG6" s="112"/>
      <c r="AH6" s="116"/>
      <c r="AI6" s="117"/>
      <c r="AJ6" s="118"/>
      <c r="AK6" s="106" t="s">
        <v>34</v>
      </c>
      <c r="AL6" s="107" t="s">
        <v>35</v>
      </c>
      <c r="AM6" s="108" t="s">
        <v>34</v>
      </c>
      <c r="AN6" s="109" t="s">
        <v>35</v>
      </c>
      <c r="AO6" s="110" t="s">
        <v>34</v>
      </c>
      <c r="AP6" s="111" t="s">
        <v>34</v>
      </c>
      <c r="AQ6" s="119"/>
      <c r="AR6" s="120"/>
      <c r="AS6" s="109" t="s">
        <v>34</v>
      </c>
      <c r="AT6" s="107" t="s">
        <v>35</v>
      </c>
      <c r="AU6" s="108" t="s">
        <v>34</v>
      </c>
      <c r="AV6" s="114" t="s">
        <v>35</v>
      </c>
      <c r="AW6" s="115" t="s">
        <v>34</v>
      </c>
      <c r="AX6" s="111" t="s">
        <v>34</v>
      </c>
      <c r="AY6" s="119"/>
      <c r="AZ6" s="120"/>
      <c r="BA6" s="121"/>
      <c r="BB6" s="122"/>
      <c r="BC6" s="123"/>
      <c r="BD6" s="124"/>
      <c r="BE6" s="125"/>
      <c r="BF6" s="126"/>
      <c r="BG6" s="127"/>
      <c r="BH6" s="128"/>
    </row>
    <row r="7" spans="1:61" s="153" customFormat="1" ht="30.75" customHeight="1" thickBot="1" x14ac:dyDescent="0.35">
      <c r="A7" s="130" t="s">
        <v>1</v>
      </c>
      <c r="B7" s="131" t="s">
        <v>2</v>
      </c>
      <c r="C7" s="132" t="s">
        <v>36</v>
      </c>
      <c r="D7" s="133" t="s">
        <v>37</v>
      </c>
      <c r="E7" s="134"/>
      <c r="F7" s="133"/>
      <c r="G7" s="135"/>
      <c r="H7" s="135"/>
      <c r="I7" s="135"/>
      <c r="J7" s="136"/>
      <c r="K7" s="137" t="s">
        <v>38</v>
      </c>
      <c r="L7" s="138" t="s">
        <v>38</v>
      </c>
      <c r="M7" s="139" t="s">
        <v>38</v>
      </c>
      <c r="N7" s="140" t="s">
        <v>38</v>
      </c>
      <c r="O7" s="139" t="s">
        <v>39</v>
      </c>
      <c r="P7" s="139" t="s">
        <v>39</v>
      </c>
      <c r="Q7" s="141" t="s">
        <v>39</v>
      </c>
      <c r="R7" s="142" t="s">
        <v>17</v>
      </c>
      <c r="S7" s="143">
        <f t="shared" ref="S7:BH7" si="0">S8+S38+S68+S98+S128+S158+S188+S218+S248+S278+S308+S338</f>
        <v>33247</v>
      </c>
      <c r="T7" s="144">
        <f t="shared" si="0"/>
        <v>4609</v>
      </c>
      <c r="U7" s="145">
        <f t="shared" si="0"/>
        <v>30924</v>
      </c>
      <c r="V7" s="146">
        <f t="shared" si="0"/>
        <v>8530</v>
      </c>
      <c r="W7" s="147">
        <f t="shared" si="0"/>
        <v>1</v>
      </c>
      <c r="X7" s="148">
        <f t="shared" si="0"/>
        <v>323</v>
      </c>
      <c r="Y7" s="149">
        <f t="shared" si="0"/>
        <v>77634</v>
      </c>
      <c r="Z7" s="150">
        <f t="shared" si="0"/>
        <v>117411</v>
      </c>
      <c r="AA7" s="146">
        <f t="shared" si="0"/>
        <v>31540</v>
      </c>
      <c r="AB7" s="144">
        <f t="shared" si="0"/>
        <v>5032</v>
      </c>
      <c r="AC7" s="145">
        <f t="shared" si="0"/>
        <v>30077</v>
      </c>
      <c r="AD7" s="151">
        <f t="shared" si="0"/>
        <v>10138</v>
      </c>
      <c r="AE7" s="152">
        <f t="shared" si="0"/>
        <v>1</v>
      </c>
      <c r="AF7" s="148">
        <f t="shared" si="0"/>
        <v>2238</v>
      </c>
      <c r="AG7" s="149">
        <f t="shared" si="0"/>
        <v>79026</v>
      </c>
      <c r="AH7" s="150">
        <f t="shared" si="0"/>
        <v>121479</v>
      </c>
      <c r="AI7" s="149">
        <f t="shared" si="0"/>
        <v>156660</v>
      </c>
      <c r="AJ7" s="150">
        <f t="shared" si="0"/>
        <v>238890</v>
      </c>
      <c r="AK7" s="143">
        <f t="shared" si="0"/>
        <v>79</v>
      </c>
      <c r="AL7" s="144">
        <f t="shared" si="0"/>
        <v>21</v>
      </c>
      <c r="AM7" s="145">
        <f t="shared" si="0"/>
        <v>1251</v>
      </c>
      <c r="AN7" s="146">
        <f t="shared" si="0"/>
        <v>440</v>
      </c>
      <c r="AO7" s="147">
        <f t="shared" si="0"/>
        <v>0</v>
      </c>
      <c r="AP7" s="148">
        <f t="shared" si="0"/>
        <v>1</v>
      </c>
      <c r="AQ7" s="149">
        <f t="shared" si="0"/>
        <v>1792</v>
      </c>
      <c r="AR7" s="150">
        <f t="shared" si="0"/>
        <v>3484</v>
      </c>
      <c r="AS7" s="146">
        <f t="shared" si="0"/>
        <v>79</v>
      </c>
      <c r="AT7" s="144">
        <f t="shared" si="0"/>
        <v>21</v>
      </c>
      <c r="AU7" s="145">
        <f t="shared" si="0"/>
        <v>1251</v>
      </c>
      <c r="AV7" s="151">
        <f t="shared" si="0"/>
        <v>440</v>
      </c>
      <c r="AW7" s="152">
        <f t="shared" si="0"/>
        <v>0</v>
      </c>
      <c r="AX7" s="148">
        <f t="shared" si="0"/>
        <v>1</v>
      </c>
      <c r="AY7" s="149">
        <f t="shared" si="0"/>
        <v>1792</v>
      </c>
      <c r="AZ7" s="150">
        <f t="shared" si="0"/>
        <v>3484</v>
      </c>
      <c r="BA7" s="149">
        <f t="shared" si="0"/>
        <v>3584</v>
      </c>
      <c r="BB7" s="150">
        <f t="shared" si="0"/>
        <v>6968</v>
      </c>
      <c r="BC7" s="149">
        <f t="shared" si="0"/>
        <v>79426</v>
      </c>
      <c r="BD7" s="150">
        <f t="shared" si="0"/>
        <v>120895</v>
      </c>
      <c r="BE7" s="149">
        <f t="shared" si="0"/>
        <v>80818</v>
      </c>
      <c r="BF7" s="150">
        <f t="shared" si="0"/>
        <v>124963</v>
      </c>
      <c r="BG7" s="149">
        <f t="shared" si="0"/>
        <v>160244</v>
      </c>
      <c r="BH7" s="150">
        <f t="shared" si="0"/>
        <v>245858</v>
      </c>
    </row>
    <row r="8" spans="1:61" s="177" customFormat="1" ht="37.5" customHeight="1" thickBot="1" x14ac:dyDescent="0.35">
      <c r="A8" s="154" t="s">
        <v>40</v>
      </c>
      <c r="B8" s="155" t="s">
        <v>40</v>
      </c>
      <c r="C8" s="156" t="s">
        <v>2</v>
      </c>
      <c r="D8" s="157" t="s">
        <v>41</v>
      </c>
      <c r="E8" s="158" t="s">
        <v>42</v>
      </c>
      <c r="F8" s="159" t="s">
        <v>5</v>
      </c>
      <c r="G8" s="160" t="s">
        <v>6</v>
      </c>
      <c r="H8" s="161" t="s">
        <v>7</v>
      </c>
      <c r="I8" s="161" t="s">
        <v>8</v>
      </c>
      <c r="J8" s="162" t="s">
        <v>9</v>
      </c>
      <c r="K8" s="163" t="s">
        <v>38</v>
      </c>
      <c r="L8" s="164" t="s">
        <v>38</v>
      </c>
      <c r="M8" s="165" t="s">
        <v>38</v>
      </c>
      <c r="N8" s="166" t="s">
        <v>38</v>
      </c>
      <c r="O8" s="165" t="s">
        <v>39</v>
      </c>
      <c r="P8" s="165" t="s">
        <v>39</v>
      </c>
      <c r="Q8" s="167" t="s">
        <v>39</v>
      </c>
      <c r="R8" s="168" t="s">
        <v>17</v>
      </c>
      <c r="S8" s="169">
        <f t="shared" ref="S8:X8" si="1">SUM(S9:S37)</f>
        <v>2500</v>
      </c>
      <c r="T8" s="170">
        <f t="shared" si="1"/>
        <v>257</v>
      </c>
      <c r="U8" s="171">
        <f t="shared" si="1"/>
        <v>2435</v>
      </c>
      <c r="V8" s="172">
        <f t="shared" si="1"/>
        <v>682</v>
      </c>
      <c r="W8" s="173">
        <f t="shared" si="1"/>
        <v>0</v>
      </c>
      <c r="X8" s="174">
        <f t="shared" si="1"/>
        <v>52</v>
      </c>
      <c r="Y8" s="169">
        <f>SUM(S8:X8)</f>
        <v>5926</v>
      </c>
      <c r="Z8" s="175">
        <f t="shared" ref="Z8:Z49" si="2">Y8+SUM(U8:V8)+X8</f>
        <v>9095</v>
      </c>
      <c r="AA8" s="169">
        <f t="shared" ref="AA8:AF8" si="3">SUM(AA9:AA37)</f>
        <v>2481</v>
      </c>
      <c r="AB8" s="170">
        <f t="shared" si="3"/>
        <v>109</v>
      </c>
      <c r="AC8" s="171">
        <f t="shared" si="3"/>
        <v>2208</v>
      </c>
      <c r="AD8" s="172">
        <f t="shared" si="3"/>
        <v>884</v>
      </c>
      <c r="AE8" s="173">
        <f t="shared" si="3"/>
        <v>0</v>
      </c>
      <c r="AF8" s="174">
        <f t="shared" si="3"/>
        <v>96</v>
      </c>
      <c r="AG8" s="169">
        <f>SUM(AA8:AF8)</f>
        <v>5778</v>
      </c>
      <c r="AH8" s="175">
        <f>AG8+SUM(AC8:AD8)+AF8</f>
        <v>8966</v>
      </c>
      <c r="AI8" s="169">
        <f t="shared" ref="AI8:AJ38" si="4">Y8+AG8</f>
        <v>11704</v>
      </c>
      <c r="AJ8" s="175">
        <f t="shared" si="4"/>
        <v>18061</v>
      </c>
      <c r="AK8" s="169">
        <f t="shared" ref="AK8:AP8" si="5">SUM(AK9:AK37)</f>
        <v>0</v>
      </c>
      <c r="AL8" s="170">
        <f t="shared" si="5"/>
        <v>0</v>
      </c>
      <c r="AM8" s="171">
        <f t="shared" si="5"/>
        <v>27</v>
      </c>
      <c r="AN8" s="172">
        <f t="shared" si="5"/>
        <v>89</v>
      </c>
      <c r="AO8" s="173">
        <f t="shared" si="5"/>
        <v>0</v>
      </c>
      <c r="AP8" s="174">
        <f t="shared" si="5"/>
        <v>0</v>
      </c>
      <c r="AQ8" s="169">
        <f>SUM(AK8:AP8)</f>
        <v>116</v>
      </c>
      <c r="AR8" s="175">
        <f>AQ8+SUM(AM8:AN8)+AP8</f>
        <v>232</v>
      </c>
      <c r="AS8" s="169">
        <f t="shared" ref="AS8:AX8" si="6">SUM(AS9:AS37)</f>
        <v>0</v>
      </c>
      <c r="AT8" s="170">
        <f t="shared" si="6"/>
        <v>0</v>
      </c>
      <c r="AU8" s="171">
        <f t="shared" si="6"/>
        <v>27</v>
      </c>
      <c r="AV8" s="172">
        <f t="shared" si="6"/>
        <v>89</v>
      </c>
      <c r="AW8" s="173">
        <f t="shared" si="6"/>
        <v>0</v>
      </c>
      <c r="AX8" s="174">
        <f t="shared" si="6"/>
        <v>0</v>
      </c>
      <c r="AY8" s="169">
        <f>SUM(AS8:AX8)</f>
        <v>116</v>
      </c>
      <c r="AZ8" s="175">
        <f>AY8+SUM(AU8:AV8)+AX8</f>
        <v>232</v>
      </c>
      <c r="BA8" s="169">
        <f t="shared" ref="BA8:BB38" si="7">AQ8+AY8</f>
        <v>232</v>
      </c>
      <c r="BB8" s="170">
        <f t="shared" si="7"/>
        <v>464</v>
      </c>
      <c r="BC8" s="169">
        <f t="shared" ref="BC8:BD38" si="8">Y8+AQ8</f>
        <v>6042</v>
      </c>
      <c r="BD8" s="170">
        <f t="shared" si="8"/>
        <v>9327</v>
      </c>
      <c r="BE8" s="169">
        <f t="shared" ref="BE8:BF38" si="9">AG8+AY8</f>
        <v>5894</v>
      </c>
      <c r="BF8" s="176">
        <f t="shared" si="9"/>
        <v>9198</v>
      </c>
      <c r="BG8" s="169">
        <f t="shared" ref="BG8:BH38" si="10">BC8+BE8</f>
        <v>11936</v>
      </c>
      <c r="BH8" s="170">
        <f t="shared" si="10"/>
        <v>18525</v>
      </c>
      <c r="BI8" s="153"/>
    </row>
    <row r="9" spans="1:61" ht="21.6" thickBot="1" x14ac:dyDescent="0.35">
      <c r="A9" s="178" t="s">
        <v>40</v>
      </c>
      <c r="B9" s="179">
        <v>1</v>
      </c>
      <c r="C9" s="180">
        <v>1</v>
      </c>
      <c r="D9" s="181" t="s">
        <v>43</v>
      </c>
      <c r="E9" s="182" t="s">
        <v>44</v>
      </c>
      <c r="F9" s="183" t="s">
        <v>45</v>
      </c>
      <c r="G9" s="184" t="s">
        <v>46</v>
      </c>
      <c r="H9" s="185" t="s">
        <v>47</v>
      </c>
      <c r="I9" s="185" t="s">
        <v>48</v>
      </c>
      <c r="J9" s="186" t="s">
        <v>49</v>
      </c>
      <c r="K9" s="187">
        <f t="shared" ref="K9:K36" si="11">I9-H9</f>
        <v>0.64375000000291038</v>
      </c>
      <c r="L9" s="188">
        <v>5.2083333328482695E-2</v>
      </c>
      <c r="M9" s="189">
        <f t="shared" ref="M9:M30" si="12">K9-L9</f>
        <v>0.59166666667442769</v>
      </c>
      <c r="N9" s="189">
        <f t="shared" ref="N9:N36" si="13">J9-G9</f>
        <v>1.0173611111094942</v>
      </c>
      <c r="O9" s="190">
        <f t="shared" ref="O9:O30" si="14">BG9/M9/24</f>
        <v>45.915492957144188</v>
      </c>
      <c r="P9" s="190">
        <f t="shared" ref="P9:P30" si="15">BG9/K9/24</f>
        <v>42.200647249000149</v>
      </c>
      <c r="Q9" s="191">
        <f t="shared" ref="Q9:Q30" si="16">BG9/N9/24</f>
        <v>26.703071672397385</v>
      </c>
      <c r="R9" s="192" t="s">
        <v>50</v>
      </c>
      <c r="S9" s="193">
        <v>124</v>
      </c>
      <c r="T9" s="194">
        <v>2</v>
      </c>
      <c r="U9" s="195">
        <v>150</v>
      </c>
      <c r="V9" s="196">
        <v>75</v>
      </c>
      <c r="W9" s="197">
        <v>0</v>
      </c>
      <c r="X9" s="198">
        <v>0</v>
      </c>
      <c r="Y9" s="199">
        <f>SUM(S9:X9)</f>
        <v>351</v>
      </c>
      <c r="Z9" s="200">
        <f t="shared" si="2"/>
        <v>576</v>
      </c>
      <c r="AA9" s="193">
        <v>148</v>
      </c>
      <c r="AB9" s="194">
        <v>3</v>
      </c>
      <c r="AC9" s="195">
        <v>150</v>
      </c>
      <c r="AD9" s="201">
        <v>0</v>
      </c>
      <c r="AE9" s="202">
        <v>0</v>
      </c>
      <c r="AF9" s="198">
        <v>0</v>
      </c>
      <c r="AG9" s="199">
        <f>SUM(AA9:AF9)</f>
        <v>301</v>
      </c>
      <c r="AH9" s="200">
        <f>AG9+SUM(AC9:AD9)+AF9</f>
        <v>451</v>
      </c>
      <c r="AI9" s="203">
        <f t="shared" si="4"/>
        <v>652</v>
      </c>
      <c r="AJ9" s="204">
        <f>Z9+AH9</f>
        <v>1027</v>
      </c>
      <c r="AK9" s="193"/>
      <c r="AL9" s="194"/>
      <c r="AM9" s="195"/>
      <c r="AN9" s="196"/>
      <c r="AO9" s="197"/>
      <c r="AP9" s="198"/>
      <c r="AQ9" s="205">
        <f>SUM(AK9:AP9)</f>
        <v>0</v>
      </c>
      <c r="AR9" s="206">
        <f>AQ9+SUM(AM9:AN9)+AP9</f>
        <v>0</v>
      </c>
      <c r="AS9" s="193"/>
      <c r="AT9" s="194"/>
      <c r="AU9" s="195"/>
      <c r="AV9" s="196"/>
      <c r="AW9" s="197"/>
      <c r="AX9" s="198"/>
      <c r="AY9" s="205">
        <f>SUM(AS9:AX9)</f>
        <v>0</v>
      </c>
      <c r="AZ9" s="206">
        <f>AY9+SUM(AU9:AV9)+AX9</f>
        <v>0</v>
      </c>
      <c r="BA9" s="207">
        <f t="shared" si="7"/>
        <v>0</v>
      </c>
      <c r="BB9" s="204">
        <f>AR9+AZ9</f>
        <v>0</v>
      </c>
      <c r="BC9" s="208">
        <f t="shared" si="8"/>
        <v>351</v>
      </c>
      <c r="BD9" s="209">
        <f>Z9+AR9</f>
        <v>576</v>
      </c>
      <c r="BE9" s="210">
        <f t="shared" si="9"/>
        <v>301</v>
      </c>
      <c r="BF9" s="211">
        <f>AH9+AZ9</f>
        <v>451</v>
      </c>
      <c r="BG9" s="212">
        <f t="shared" si="10"/>
        <v>652</v>
      </c>
      <c r="BH9" s="213">
        <f>BD9+BF9</f>
        <v>1027</v>
      </c>
      <c r="BI9" s="153"/>
    </row>
    <row r="10" spans="1:61" ht="21.6" thickBot="1" x14ac:dyDescent="0.35">
      <c r="A10" s="214" t="s">
        <v>40</v>
      </c>
      <c r="B10" s="179">
        <v>1</v>
      </c>
      <c r="C10" s="180">
        <v>2</v>
      </c>
      <c r="D10" s="215" t="s">
        <v>51</v>
      </c>
      <c r="E10" s="182" t="s">
        <v>52</v>
      </c>
      <c r="F10" s="183" t="s">
        <v>53</v>
      </c>
      <c r="G10" s="216" t="s">
        <v>54</v>
      </c>
      <c r="H10" s="217" t="s">
        <v>55</v>
      </c>
      <c r="I10" s="217" t="s">
        <v>56</v>
      </c>
      <c r="J10" s="218" t="s">
        <v>56</v>
      </c>
      <c r="K10" s="187">
        <f t="shared" si="11"/>
        <v>0.55208333332848269</v>
      </c>
      <c r="L10" s="188"/>
      <c r="M10" s="189">
        <f t="shared" si="12"/>
        <v>0.55208333332848269</v>
      </c>
      <c r="N10" s="189">
        <f t="shared" si="13"/>
        <v>0.56944444444525288</v>
      </c>
      <c r="O10" s="190">
        <f t="shared" si="14"/>
        <v>48.679245283446562</v>
      </c>
      <c r="P10" s="190">
        <f t="shared" si="15"/>
        <v>48.679245283446562</v>
      </c>
      <c r="Q10" s="191">
        <f t="shared" si="16"/>
        <v>47.195121951152508</v>
      </c>
      <c r="R10" s="192" t="s">
        <v>57</v>
      </c>
      <c r="S10" s="193">
        <v>164</v>
      </c>
      <c r="T10" s="194">
        <v>60</v>
      </c>
      <c r="U10" s="195">
        <v>113</v>
      </c>
      <c r="V10" s="196">
        <v>30</v>
      </c>
      <c r="W10" s="219">
        <v>0</v>
      </c>
      <c r="X10" s="220">
        <v>2</v>
      </c>
      <c r="Y10" s="199">
        <f t="shared" ref="Y10:Y37" si="17">SUM(S10:X10)</f>
        <v>369</v>
      </c>
      <c r="Z10" s="200">
        <f t="shared" si="2"/>
        <v>514</v>
      </c>
      <c r="AA10" s="193">
        <v>170</v>
      </c>
      <c r="AB10" s="194">
        <v>0</v>
      </c>
      <c r="AC10" s="195">
        <v>89</v>
      </c>
      <c r="AD10" s="201">
        <v>9</v>
      </c>
      <c r="AE10" s="221">
        <v>0</v>
      </c>
      <c r="AF10" s="220">
        <v>8</v>
      </c>
      <c r="AG10" s="199">
        <f t="shared" ref="AG10:AG49" si="18">SUM(AA10:AF10)</f>
        <v>276</v>
      </c>
      <c r="AH10" s="200">
        <f t="shared" ref="AH10:AH67" si="19">AG10+SUM(AC10:AD10)+AF10</f>
        <v>382</v>
      </c>
      <c r="AI10" s="203">
        <f t="shared" si="4"/>
        <v>645</v>
      </c>
      <c r="AJ10" s="204">
        <f t="shared" si="4"/>
        <v>896</v>
      </c>
      <c r="AK10" s="193"/>
      <c r="AL10" s="194"/>
      <c r="AM10" s="195"/>
      <c r="AN10" s="196"/>
      <c r="AO10" s="219"/>
      <c r="AP10" s="220"/>
      <c r="AQ10" s="205">
        <f t="shared" ref="AQ10:AQ37" si="20">SUM(AK10:AP10)</f>
        <v>0</v>
      </c>
      <c r="AR10" s="206">
        <f t="shared" ref="AR10:AR73" si="21">AQ10+SUM(AM10:AN10)+AP10</f>
        <v>0</v>
      </c>
      <c r="AS10" s="193"/>
      <c r="AT10" s="194"/>
      <c r="AU10" s="195"/>
      <c r="AV10" s="196"/>
      <c r="AW10" s="219"/>
      <c r="AX10" s="220"/>
      <c r="AY10" s="205">
        <f t="shared" ref="AY10:AY37" si="22">SUM(AS10:AX10)</f>
        <v>0</v>
      </c>
      <c r="AZ10" s="206">
        <f t="shared" ref="AZ10:AZ67" si="23">AY10+SUM(AU10:AV10)+AX10</f>
        <v>0</v>
      </c>
      <c r="BA10" s="207">
        <f t="shared" si="7"/>
        <v>0</v>
      </c>
      <c r="BB10" s="204">
        <f t="shared" si="7"/>
        <v>0</v>
      </c>
      <c r="BC10" s="208">
        <f t="shared" si="8"/>
        <v>369</v>
      </c>
      <c r="BD10" s="209">
        <f t="shared" si="8"/>
        <v>514</v>
      </c>
      <c r="BE10" s="210">
        <f t="shared" si="9"/>
        <v>276</v>
      </c>
      <c r="BF10" s="211">
        <f t="shared" si="9"/>
        <v>382</v>
      </c>
      <c r="BG10" s="212">
        <f t="shared" si="10"/>
        <v>645</v>
      </c>
      <c r="BH10" s="213">
        <f t="shared" si="10"/>
        <v>896</v>
      </c>
      <c r="BI10" s="153"/>
    </row>
    <row r="11" spans="1:61" ht="21.6" thickBot="1" x14ac:dyDescent="0.35">
      <c r="A11" s="214" t="s">
        <v>40</v>
      </c>
      <c r="B11" s="179">
        <v>2</v>
      </c>
      <c r="C11" s="180">
        <v>3</v>
      </c>
      <c r="D11" s="215" t="s">
        <v>58</v>
      </c>
      <c r="E11" s="182" t="s">
        <v>59</v>
      </c>
      <c r="F11" s="183" t="s">
        <v>60</v>
      </c>
      <c r="G11" s="216" t="s">
        <v>61</v>
      </c>
      <c r="H11" s="217" t="s">
        <v>62</v>
      </c>
      <c r="I11" s="217" t="s">
        <v>63</v>
      </c>
      <c r="J11" s="218" t="s">
        <v>64</v>
      </c>
      <c r="K11" s="187">
        <f t="shared" si="11"/>
        <v>0.60416666667151731</v>
      </c>
      <c r="L11" s="188"/>
      <c r="M11" s="189">
        <f t="shared" si="12"/>
        <v>0.60416666667151731</v>
      </c>
      <c r="N11" s="189">
        <f t="shared" si="13"/>
        <v>0.64583333332848269</v>
      </c>
      <c r="O11" s="190">
        <f t="shared" si="14"/>
        <v>45.724137930667382</v>
      </c>
      <c r="P11" s="190">
        <f t="shared" si="15"/>
        <v>45.724137930667382</v>
      </c>
      <c r="Q11" s="191">
        <f t="shared" si="16"/>
        <v>42.774193548708361</v>
      </c>
      <c r="R11" s="192" t="s">
        <v>57</v>
      </c>
      <c r="S11" s="193">
        <v>146</v>
      </c>
      <c r="T11" s="194">
        <v>0</v>
      </c>
      <c r="U11" s="195">
        <v>112</v>
      </c>
      <c r="V11" s="196">
        <v>30</v>
      </c>
      <c r="W11" s="219">
        <v>0</v>
      </c>
      <c r="X11" s="220">
        <v>3</v>
      </c>
      <c r="Y11" s="199">
        <f t="shared" si="17"/>
        <v>291</v>
      </c>
      <c r="Z11" s="200">
        <f t="shared" si="2"/>
        <v>436</v>
      </c>
      <c r="AA11" s="193">
        <v>176</v>
      </c>
      <c r="AB11" s="194">
        <v>0</v>
      </c>
      <c r="AC11" s="195">
        <v>124</v>
      </c>
      <c r="AD11" s="201">
        <v>60</v>
      </c>
      <c r="AE11" s="221">
        <v>0</v>
      </c>
      <c r="AF11" s="220">
        <v>12</v>
      </c>
      <c r="AG11" s="199">
        <f t="shared" si="18"/>
        <v>372</v>
      </c>
      <c r="AH11" s="200">
        <f t="shared" si="19"/>
        <v>568</v>
      </c>
      <c r="AI11" s="203">
        <f t="shared" si="4"/>
        <v>663</v>
      </c>
      <c r="AJ11" s="204">
        <f t="shared" si="4"/>
        <v>1004</v>
      </c>
      <c r="AK11" s="193"/>
      <c r="AL11" s="194"/>
      <c r="AM11" s="195"/>
      <c r="AN11" s="196"/>
      <c r="AO11" s="219"/>
      <c r="AP11" s="220"/>
      <c r="AQ11" s="205">
        <f t="shared" si="20"/>
        <v>0</v>
      </c>
      <c r="AR11" s="206">
        <f t="shared" si="21"/>
        <v>0</v>
      </c>
      <c r="AS11" s="193"/>
      <c r="AT11" s="194"/>
      <c r="AU11" s="195"/>
      <c r="AV11" s="196"/>
      <c r="AW11" s="219"/>
      <c r="AX11" s="220"/>
      <c r="AY11" s="205">
        <f t="shared" si="22"/>
        <v>0</v>
      </c>
      <c r="AZ11" s="206">
        <f t="shared" si="23"/>
        <v>0</v>
      </c>
      <c r="BA11" s="207">
        <f t="shared" si="7"/>
        <v>0</v>
      </c>
      <c r="BB11" s="204">
        <f t="shared" si="7"/>
        <v>0</v>
      </c>
      <c r="BC11" s="208">
        <f t="shared" si="8"/>
        <v>291</v>
      </c>
      <c r="BD11" s="209">
        <f t="shared" si="8"/>
        <v>436</v>
      </c>
      <c r="BE11" s="210">
        <f t="shared" si="9"/>
        <v>372</v>
      </c>
      <c r="BF11" s="211">
        <f t="shared" si="9"/>
        <v>568</v>
      </c>
      <c r="BG11" s="212">
        <f t="shared" si="10"/>
        <v>663</v>
      </c>
      <c r="BH11" s="213">
        <f t="shared" si="10"/>
        <v>1004</v>
      </c>
      <c r="BI11" s="153"/>
    </row>
    <row r="12" spans="1:61" ht="21.6" thickBot="1" x14ac:dyDescent="0.35">
      <c r="A12" s="214" t="s">
        <v>40</v>
      </c>
      <c r="B12" s="179">
        <v>1</v>
      </c>
      <c r="C12" s="180">
        <v>4</v>
      </c>
      <c r="D12" s="215" t="s">
        <v>65</v>
      </c>
      <c r="E12" s="182" t="s">
        <v>66</v>
      </c>
      <c r="F12" s="183" t="s">
        <v>53</v>
      </c>
      <c r="G12" s="216" t="s">
        <v>67</v>
      </c>
      <c r="H12" s="217" t="s">
        <v>68</v>
      </c>
      <c r="I12" s="217" t="s">
        <v>69</v>
      </c>
      <c r="J12" s="218" t="s">
        <v>70</v>
      </c>
      <c r="K12" s="187">
        <f t="shared" si="11"/>
        <v>0.42361111110949423</v>
      </c>
      <c r="L12" s="188"/>
      <c r="M12" s="189">
        <f t="shared" si="12"/>
        <v>0.42361111110949423</v>
      </c>
      <c r="N12" s="189">
        <f t="shared" si="13"/>
        <v>0.46180555555474712</v>
      </c>
      <c r="O12" s="190">
        <f t="shared" si="14"/>
        <v>57.934426229729326</v>
      </c>
      <c r="P12" s="190">
        <f t="shared" si="15"/>
        <v>57.934426229729326</v>
      </c>
      <c r="Q12" s="191">
        <f t="shared" si="16"/>
        <v>53.14285714295017</v>
      </c>
      <c r="R12" s="192" t="s">
        <v>71</v>
      </c>
      <c r="S12" s="193">
        <v>133</v>
      </c>
      <c r="T12" s="194">
        <v>0</v>
      </c>
      <c r="U12" s="195">
        <v>147</v>
      </c>
      <c r="V12" s="196">
        <v>20</v>
      </c>
      <c r="W12" s="219">
        <v>0</v>
      </c>
      <c r="X12" s="220">
        <v>1</v>
      </c>
      <c r="Y12" s="199">
        <f t="shared" si="17"/>
        <v>301</v>
      </c>
      <c r="Z12" s="200">
        <f t="shared" si="2"/>
        <v>469</v>
      </c>
      <c r="AA12" s="193">
        <v>118</v>
      </c>
      <c r="AB12" s="194">
        <v>12</v>
      </c>
      <c r="AC12" s="195">
        <v>120</v>
      </c>
      <c r="AD12" s="201">
        <v>34</v>
      </c>
      <c r="AE12" s="221">
        <v>0</v>
      </c>
      <c r="AF12" s="220">
        <v>4</v>
      </c>
      <c r="AG12" s="199">
        <f t="shared" si="18"/>
        <v>288</v>
      </c>
      <c r="AH12" s="200">
        <f t="shared" si="19"/>
        <v>446</v>
      </c>
      <c r="AI12" s="203">
        <f t="shared" si="4"/>
        <v>589</v>
      </c>
      <c r="AJ12" s="204">
        <f t="shared" si="4"/>
        <v>915</v>
      </c>
      <c r="AK12" s="193"/>
      <c r="AL12" s="194"/>
      <c r="AM12" s="195"/>
      <c r="AN12" s="196"/>
      <c r="AO12" s="219"/>
      <c r="AP12" s="220"/>
      <c r="AQ12" s="205">
        <f t="shared" si="20"/>
        <v>0</v>
      </c>
      <c r="AR12" s="206">
        <f t="shared" si="21"/>
        <v>0</v>
      </c>
      <c r="AS12" s="193"/>
      <c r="AT12" s="194"/>
      <c r="AU12" s="195"/>
      <c r="AV12" s="196"/>
      <c r="AW12" s="219"/>
      <c r="AX12" s="220"/>
      <c r="AY12" s="205">
        <f t="shared" si="22"/>
        <v>0</v>
      </c>
      <c r="AZ12" s="206">
        <f t="shared" si="23"/>
        <v>0</v>
      </c>
      <c r="BA12" s="207">
        <f t="shared" si="7"/>
        <v>0</v>
      </c>
      <c r="BB12" s="204">
        <f t="shared" si="7"/>
        <v>0</v>
      </c>
      <c r="BC12" s="208">
        <f t="shared" si="8"/>
        <v>301</v>
      </c>
      <c r="BD12" s="209">
        <f t="shared" si="8"/>
        <v>469</v>
      </c>
      <c r="BE12" s="210">
        <f t="shared" si="9"/>
        <v>288</v>
      </c>
      <c r="BF12" s="211">
        <f t="shared" si="9"/>
        <v>446</v>
      </c>
      <c r="BG12" s="212">
        <f t="shared" si="10"/>
        <v>589</v>
      </c>
      <c r="BH12" s="213">
        <f t="shared" si="10"/>
        <v>915</v>
      </c>
      <c r="BI12" s="153"/>
    </row>
    <row r="13" spans="1:61" ht="21.6" thickBot="1" x14ac:dyDescent="0.35">
      <c r="A13" s="214" t="s">
        <v>40</v>
      </c>
      <c r="B13" s="179">
        <v>3</v>
      </c>
      <c r="C13" s="180">
        <v>5</v>
      </c>
      <c r="D13" s="181" t="s">
        <v>72</v>
      </c>
      <c r="E13" s="182" t="s">
        <v>73</v>
      </c>
      <c r="F13" s="183" t="s">
        <v>74</v>
      </c>
      <c r="G13" s="216" t="s">
        <v>75</v>
      </c>
      <c r="H13" s="217" t="s">
        <v>76</v>
      </c>
      <c r="I13" s="217" t="s">
        <v>77</v>
      </c>
      <c r="J13" s="218" t="s">
        <v>78</v>
      </c>
      <c r="K13" s="187">
        <f t="shared" si="11"/>
        <v>0.56736111111240461</v>
      </c>
      <c r="L13" s="188"/>
      <c r="M13" s="189">
        <f t="shared" si="12"/>
        <v>0.56736111111240461</v>
      </c>
      <c r="N13" s="189">
        <f t="shared" si="13"/>
        <v>0.70486111110949423</v>
      </c>
      <c r="O13" s="190">
        <f t="shared" si="14"/>
        <v>51.040391676750225</v>
      </c>
      <c r="P13" s="190">
        <f t="shared" si="15"/>
        <v>51.040391676750225</v>
      </c>
      <c r="Q13" s="191">
        <f t="shared" si="16"/>
        <v>41.083743842458773</v>
      </c>
      <c r="R13" s="192" t="s">
        <v>57</v>
      </c>
      <c r="S13" s="193">
        <v>36</v>
      </c>
      <c r="T13" s="194">
        <v>144</v>
      </c>
      <c r="U13" s="195">
        <v>46</v>
      </c>
      <c r="V13" s="196">
        <v>26</v>
      </c>
      <c r="W13" s="219">
        <v>0</v>
      </c>
      <c r="X13" s="220">
        <v>0</v>
      </c>
      <c r="Y13" s="199">
        <f t="shared" si="17"/>
        <v>252</v>
      </c>
      <c r="Z13" s="200">
        <f t="shared" si="2"/>
        <v>324</v>
      </c>
      <c r="AA13" s="193">
        <v>117</v>
      </c>
      <c r="AB13" s="194">
        <v>0</v>
      </c>
      <c r="AC13" s="195">
        <v>83</v>
      </c>
      <c r="AD13" s="201">
        <v>85</v>
      </c>
      <c r="AE13" s="221">
        <v>0</v>
      </c>
      <c r="AF13" s="220">
        <v>0</v>
      </c>
      <c r="AG13" s="199">
        <f t="shared" si="18"/>
        <v>285</v>
      </c>
      <c r="AH13" s="200">
        <f t="shared" si="19"/>
        <v>453</v>
      </c>
      <c r="AI13" s="203">
        <f t="shared" si="4"/>
        <v>537</v>
      </c>
      <c r="AJ13" s="204">
        <f t="shared" si="4"/>
        <v>777</v>
      </c>
      <c r="AK13" s="193">
        <v>0</v>
      </c>
      <c r="AL13" s="194">
        <v>0</v>
      </c>
      <c r="AM13" s="195">
        <v>0</v>
      </c>
      <c r="AN13" s="196">
        <v>79</v>
      </c>
      <c r="AO13" s="219">
        <v>0</v>
      </c>
      <c r="AP13" s="220">
        <v>0</v>
      </c>
      <c r="AQ13" s="205">
        <f t="shared" si="20"/>
        <v>79</v>
      </c>
      <c r="AR13" s="206">
        <f t="shared" si="21"/>
        <v>158</v>
      </c>
      <c r="AS13" s="193">
        <v>0</v>
      </c>
      <c r="AT13" s="194">
        <v>0</v>
      </c>
      <c r="AU13" s="195">
        <v>0</v>
      </c>
      <c r="AV13" s="196">
        <v>79</v>
      </c>
      <c r="AW13" s="219">
        <v>0</v>
      </c>
      <c r="AX13" s="220">
        <v>0</v>
      </c>
      <c r="AY13" s="205">
        <f>SUM(AS13:AX13)</f>
        <v>79</v>
      </c>
      <c r="AZ13" s="206">
        <f>AY13+SUM(AU13:AV13)+AX13</f>
        <v>158</v>
      </c>
      <c r="BA13" s="207">
        <f t="shared" si="7"/>
        <v>158</v>
      </c>
      <c r="BB13" s="204">
        <f>AR13+AZ13</f>
        <v>316</v>
      </c>
      <c r="BC13" s="208">
        <f t="shared" si="8"/>
        <v>331</v>
      </c>
      <c r="BD13" s="209">
        <f t="shared" si="8"/>
        <v>482</v>
      </c>
      <c r="BE13" s="210">
        <f t="shared" si="9"/>
        <v>364</v>
      </c>
      <c r="BF13" s="211">
        <f t="shared" si="9"/>
        <v>611</v>
      </c>
      <c r="BG13" s="212">
        <f t="shared" si="10"/>
        <v>695</v>
      </c>
      <c r="BH13" s="213">
        <f t="shared" si="10"/>
        <v>1093</v>
      </c>
      <c r="BI13" s="153"/>
    </row>
    <row r="14" spans="1:61" ht="21.6" thickBot="1" x14ac:dyDescent="0.35">
      <c r="A14" s="214" t="s">
        <v>40</v>
      </c>
      <c r="B14" s="179">
        <v>2</v>
      </c>
      <c r="C14" s="180">
        <v>6</v>
      </c>
      <c r="D14" s="215" t="s">
        <v>79</v>
      </c>
      <c r="E14" s="182" t="s">
        <v>80</v>
      </c>
      <c r="F14" s="183" t="s">
        <v>53</v>
      </c>
      <c r="G14" s="216" t="s">
        <v>81</v>
      </c>
      <c r="H14" s="217" t="s">
        <v>82</v>
      </c>
      <c r="I14" s="217" t="s">
        <v>83</v>
      </c>
      <c r="J14" s="218" t="s">
        <v>84</v>
      </c>
      <c r="K14" s="187">
        <f t="shared" si="11"/>
        <v>0.49652777778101154</v>
      </c>
      <c r="L14" s="188"/>
      <c r="M14" s="189">
        <f t="shared" si="12"/>
        <v>0.49652777778101154</v>
      </c>
      <c r="N14" s="189">
        <f t="shared" si="13"/>
        <v>0.53125</v>
      </c>
      <c r="O14" s="190">
        <f t="shared" si="14"/>
        <v>52.195804195464262</v>
      </c>
      <c r="P14" s="190">
        <f t="shared" si="15"/>
        <v>52.195804195464262</v>
      </c>
      <c r="Q14" s="191">
        <f t="shared" si="16"/>
        <v>48.784313725490193</v>
      </c>
      <c r="R14" s="192" t="s">
        <v>71</v>
      </c>
      <c r="S14" s="193">
        <v>136</v>
      </c>
      <c r="T14" s="194">
        <v>1</v>
      </c>
      <c r="U14" s="195">
        <v>150</v>
      </c>
      <c r="V14" s="196">
        <v>31</v>
      </c>
      <c r="W14" s="219">
        <v>0</v>
      </c>
      <c r="X14" s="220">
        <v>3</v>
      </c>
      <c r="Y14" s="199">
        <f t="shared" si="17"/>
        <v>321</v>
      </c>
      <c r="Z14" s="200">
        <f t="shared" si="2"/>
        <v>505</v>
      </c>
      <c r="AA14" s="193">
        <v>124</v>
      </c>
      <c r="AB14" s="194">
        <v>12</v>
      </c>
      <c r="AC14" s="195">
        <v>121</v>
      </c>
      <c r="AD14" s="201">
        <v>39</v>
      </c>
      <c r="AE14" s="221">
        <v>0</v>
      </c>
      <c r="AF14" s="220">
        <v>5</v>
      </c>
      <c r="AG14" s="199">
        <f t="shared" si="18"/>
        <v>301</v>
      </c>
      <c r="AH14" s="200">
        <f t="shared" si="19"/>
        <v>466</v>
      </c>
      <c r="AI14" s="203">
        <f t="shared" si="4"/>
        <v>622</v>
      </c>
      <c r="AJ14" s="204">
        <f t="shared" si="4"/>
        <v>971</v>
      </c>
      <c r="AK14" s="193"/>
      <c r="AL14" s="194"/>
      <c r="AM14" s="195"/>
      <c r="AN14" s="196"/>
      <c r="AO14" s="219"/>
      <c r="AP14" s="220"/>
      <c r="AQ14" s="205">
        <f t="shared" si="20"/>
        <v>0</v>
      </c>
      <c r="AR14" s="206">
        <f t="shared" si="21"/>
        <v>0</v>
      </c>
      <c r="AS14" s="193"/>
      <c r="AT14" s="194"/>
      <c r="AU14" s="195"/>
      <c r="AV14" s="196"/>
      <c r="AW14" s="219"/>
      <c r="AX14" s="220"/>
      <c r="AY14" s="205">
        <f t="shared" si="22"/>
        <v>0</v>
      </c>
      <c r="AZ14" s="206">
        <f t="shared" si="23"/>
        <v>0</v>
      </c>
      <c r="BA14" s="207">
        <f t="shared" si="7"/>
        <v>0</v>
      </c>
      <c r="BB14" s="204">
        <f t="shared" si="7"/>
        <v>0</v>
      </c>
      <c r="BC14" s="208">
        <f t="shared" si="8"/>
        <v>321</v>
      </c>
      <c r="BD14" s="209">
        <f t="shared" si="8"/>
        <v>505</v>
      </c>
      <c r="BE14" s="210">
        <f t="shared" si="9"/>
        <v>301</v>
      </c>
      <c r="BF14" s="211">
        <f t="shared" si="9"/>
        <v>466</v>
      </c>
      <c r="BG14" s="212">
        <f t="shared" si="10"/>
        <v>622</v>
      </c>
      <c r="BH14" s="213">
        <f t="shared" si="10"/>
        <v>971</v>
      </c>
      <c r="BI14" s="153"/>
    </row>
    <row r="15" spans="1:61" ht="21.6" thickBot="1" x14ac:dyDescent="0.35">
      <c r="A15" s="214" t="s">
        <v>40</v>
      </c>
      <c r="B15" s="179">
        <v>4</v>
      </c>
      <c r="C15" s="180">
        <v>7</v>
      </c>
      <c r="D15" s="215" t="s">
        <v>51</v>
      </c>
      <c r="E15" s="182" t="s">
        <v>85</v>
      </c>
      <c r="F15" s="183" t="s">
        <v>86</v>
      </c>
      <c r="G15" s="216" t="s">
        <v>87</v>
      </c>
      <c r="H15" s="217" t="s">
        <v>88</v>
      </c>
      <c r="I15" s="217" t="s">
        <v>89</v>
      </c>
      <c r="J15" s="218" t="s">
        <v>90</v>
      </c>
      <c r="K15" s="187">
        <f t="shared" si="11"/>
        <v>0.53472222221898846</v>
      </c>
      <c r="L15" s="188" t="s">
        <v>91</v>
      </c>
      <c r="M15" s="189">
        <f t="shared" si="12"/>
        <v>0.48611111110787736</v>
      </c>
      <c r="N15" s="189">
        <f t="shared" si="13"/>
        <v>0.61805555555474712</v>
      </c>
      <c r="O15" s="190">
        <f t="shared" si="14"/>
        <v>53.485714286070085</v>
      </c>
      <c r="P15" s="190">
        <f t="shared" si="15"/>
        <v>48.62337662367068</v>
      </c>
      <c r="Q15" s="191">
        <f t="shared" si="16"/>
        <v>42.067415730392106</v>
      </c>
      <c r="R15" s="192" t="s">
        <v>57</v>
      </c>
      <c r="S15" s="193">
        <v>166</v>
      </c>
      <c r="T15" s="194">
        <v>0</v>
      </c>
      <c r="U15" s="195">
        <v>108</v>
      </c>
      <c r="V15" s="196">
        <v>30</v>
      </c>
      <c r="W15" s="219">
        <v>0</v>
      </c>
      <c r="X15" s="220">
        <v>2</v>
      </c>
      <c r="Y15" s="199">
        <f t="shared" si="17"/>
        <v>306</v>
      </c>
      <c r="Z15" s="200">
        <f t="shared" si="2"/>
        <v>446</v>
      </c>
      <c r="AA15" s="193">
        <v>155</v>
      </c>
      <c r="AB15" s="194">
        <v>0</v>
      </c>
      <c r="AC15" s="195">
        <v>123</v>
      </c>
      <c r="AD15" s="201">
        <v>31</v>
      </c>
      <c r="AE15" s="221">
        <v>0</v>
      </c>
      <c r="AF15" s="220">
        <v>9</v>
      </c>
      <c r="AG15" s="199">
        <f t="shared" si="18"/>
        <v>318</v>
      </c>
      <c r="AH15" s="200">
        <f t="shared" si="19"/>
        <v>481</v>
      </c>
      <c r="AI15" s="203">
        <f t="shared" si="4"/>
        <v>624</v>
      </c>
      <c r="AJ15" s="204">
        <f t="shared" si="4"/>
        <v>927</v>
      </c>
      <c r="AK15" s="193"/>
      <c r="AL15" s="194"/>
      <c r="AM15" s="195"/>
      <c r="AN15" s="196"/>
      <c r="AO15" s="219"/>
      <c r="AP15" s="220"/>
      <c r="AQ15" s="205">
        <f t="shared" si="20"/>
        <v>0</v>
      </c>
      <c r="AR15" s="206">
        <f t="shared" si="21"/>
        <v>0</v>
      </c>
      <c r="AS15" s="193"/>
      <c r="AT15" s="194"/>
      <c r="AU15" s="195"/>
      <c r="AV15" s="196"/>
      <c r="AW15" s="219"/>
      <c r="AX15" s="220"/>
      <c r="AY15" s="205">
        <f t="shared" si="22"/>
        <v>0</v>
      </c>
      <c r="AZ15" s="206">
        <f t="shared" si="23"/>
        <v>0</v>
      </c>
      <c r="BA15" s="207">
        <f t="shared" si="7"/>
        <v>0</v>
      </c>
      <c r="BB15" s="204">
        <f t="shared" si="7"/>
        <v>0</v>
      </c>
      <c r="BC15" s="208">
        <f t="shared" si="8"/>
        <v>306</v>
      </c>
      <c r="BD15" s="209">
        <f t="shared" si="8"/>
        <v>446</v>
      </c>
      <c r="BE15" s="210">
        <f t="shared" si="9"/>
        <v>318</v>
      </c>
      <c r="BF15" s="211">
        <f t="shared" si="9"/>
        <v>481</v>
      </c>
      <c r="BG15" s="212">
        <f t="shared" si="10"/>
        <v>624</v>
      </c>
      <c r="BH15" s="213">
        <f t="shared" si="10"/>
        <v>927</v>
      </c>
      <c r="BI15" s="153"/>
    </row>
    <row r="16" spans="1:61" ht="21.6" thickBot="1" x14ac:dyDescent="0.35">
      <c r="A16" s="214" t="s">
        <v>40</v>
      </c>
      <c r="B16" s="179">
        <v>2</v>
      </c>
      <c r="C16" s="180">
        <v>8</v>
      </c>
      <c r="D16" s="181" t="s">
        <v>43</v>
      </c>
      <c r="E16" s="182" t="s">
        <v>92</v>
      </c>
      <c r="F16" s="183" t="s">
        <v>93</v>
      </c>
      <c r="G16" s="216" t="s">
        <v>94</v>
      </c>
      <c r="H16" s="217" t="s">
        <v>95</v>
      </c>
      <c r="I16" s="217" t="s">
        <v>96</v>
      </c>
      <c r="J16" s="218" t="s">
        <v>97</v>
      </c>
      <c r="K16" s="187">
        <f t="shared" si="11"/>
        <v>0.59444444443943212</v>
      </c>
      <c r="L16" s="188"/>
      <c r="M16" s="189">
        <f t="shared" si="12"/>
        <v>0.59444444443943212</v>
      </c>
      <c r="N16" s="189">
        <f t="shared" si="13"/>
        <v>0.78125</v>
      </c>
      <c r="O16" s="190">
        <f t="shared" si="14"/>
        <v>45.911214953658146</v>
      </c>
      <c r="P16" s="190">
        <f t="shared" si="15"/>
        <v>45.911214953658146</v>
      </c>
      <c r="Q16" s="191">
        <f t="shared" si="16"/>
        <v>34.93333333333333</v>
      </c>
      <c r="R16" s="192" t="s">
        <v>50</v>
      </c>
      <c r="S16" s="193">
        <v>122</v>
      </c>
      <c r="T16" s="194">
        <v>5</v>
      </c>
      <c r="U16" s="195">
        <v>148</v>
      </c>
      <c r="V16" s="196">
        <v>76</v>
      </c>
      <c r="W16" s="219">
        <v>0</v>
      </c>
      <c r="X16" s="220">
        <v>0</v>
      </c>
      <c r="Y16" s="199">
        <f t="shared" si="17"/>
        <v>351</v>
      </c>
      <c r="Z16" s="200">
        <f t="shared" si="2"/>
        <v>575</v>
      </c>
      <c r="AA16" s="193">
        <v>147</v>
      </c>
      <c r="AB16" s="194">
        <v>0</v>
      </c>
      <c r="AC16" s="195">
        <v>147</v>
      </c>
      <c r="AD16" s="201">
        <v>10</v>
      </c>
      <c r="AE16" s="221">
        <v>0</v>
      </c>
      <c r="AF16" s="220">
        <v>0</v>
      </c>
      <c r="AG16" s="199">
        <f t="shared" si="18"/>
        <v>304</v>
      </c>
      <c r="AH16" s="200">
        <f t="shared" si="19"/>
        <v>461</v>
      </c>
      <c r="AI16" s="203">
        <f t="shared" si="4"/>
        <v>655</v>
      </c>
      <c r="AJ16" s="204">
        <f t="shared" si="4"/>
        <v>1036</v>
      </c>
      <c r="AK16" s="193"/>
      <c r="AL16" s="194"/>
      <c r="AM16" s="195"/>
      <c r="AN16" s="196"/>
      <c r="AO16" s="219"/>
      <c r="AP16" s="220"/>
      <c r="AQ16" s="205">
        <f t="shared" si="20"/>
        <v>0</v>
      </c>
      <c r="AR16" s="206">
        <f t="shared" si="21"/>
        <v>0</v>
      </c>
      <c r="AS16" s="193"/>
      <c r="AT16" s="194"/>
      <c r="AU16" s="195"/>
      <c r="AV16" s="196"/>
      <c r="AW16" s="219"/>
      <c r="AX16" s="220"/>
      <c r="AY16" s="205">
        <f t="shared" si="22"/>
        <v>0</v>
      </c>
      <c r="AZ16" s="206">
        <f t="shared" si="23"/>
        <v>0</v>
      </c>
      <c r="BA16" s="207">
        <f t="shared" si="7"/>
        <v>0</v>
      </c>
      <c r="BB16" s="204">
        <f t="shared" si="7"/>
        <v>0</v>
      </c>
      <c r="BC16" s="208">
        <f t="shared" si="8"/>
        <v>351</v>
      </c>
      <c r="BD16" s="209">
        <f t="shared" si="8"/>
        <v>575</v>
      </c>
      <c r="BE16" s="210">
        <f t="shared" si="9"/>
        <v>304</v>
      </c>
      <c r="BF16" s="211">
        <f t="shared" si="9"/>
        <v>461</v>
      </c>
      <c r="BG16" s="212">
        <f t="shared" si="10"/>
        <v>655</v>
      </c>
      <c r="BH16" s="213">
        <f t="shared" si="10"/>
        <v>1036</v>
      </c>
      <c r="BI16" s="153"/>
    </row>
    <row r="17" spans="1:61" ht="21.6" thickBot="1" x14ac:dyDescent="0.35">
      <c r="A17" s="214" t="s">
        <v>40</v>
      </c>
      <c r="B17" s="179">
        <v>5</v>
      </c>
      <c r="C17" s="180">
        <v>9</v>
      </c>
      <c r="D17" s="215" t="s">
        <v>58</v>
      </c>
      <c r="E17" s="182" t="s">
        <v>98</v>
      </c>
      <c r="F17" s="183" t="s">
        <v>53</v>
      </c>
      <c r="G17" s="216" t="s">
        <v>99</v>
      </c>
      <c r="H17" s="217" t="s">
        <v>100</v>
      </c>
      <c r="I17" s="217" t="s">
        <v>101</v>
      </c>
      <c r="J17" s="218" t="s">
        <v>102</v>
      </c>
      <c r="K17" s="187">
        <f t="shared" si="11"/>
        <v>0.56805555555911269</v>
      </c>
      <c r="L17" s="188">
        <v>0.10763888889050577</v>
      </c>
      <c r="M17" s="189">
        <f t="shared" si="12"/>
        <v>0.46041666666860692</v>
      </c>
      <c r="N17" s="189">
        <f t="shared" si="13"/>
        <v>0.62847222221898846</v>
      </c>
      <c r="O17" s="190">
        <f t="shared" si="14"/>
        <v>47.963800904775248</v>
      </c>
      <c r="P17" s="190">
        <f t="shared" si="15"/>
        <v>38.875305623228449</v>
      </c>
      <c r="Q17" s="191">
        <f t="shared" si="16"/>
        <v>35.138121547142127</v>
      </c>
      <c r="R17" s="192" t="s">
        <v>57</v>
      </c>
      <c r="S17" s="193">
        <v>177</v>
      </c>
      <c r="T17" s="194">
        <v>0</v>
      </c>
      <c r="U17" s="195">
        <v>112</v>
      </c>
      <c r="V17" s="196">
        <v>60</v>
      </c>
      <c r="W17" s="219">
        <v>0</v>
      </c>
      <c r="X17" s="220">
        <v>2</v>
      </c>
      <c r="Y17" s="199">
        <f t="shared" si="17"/>
        <v>351</v>
      </c>
      <c r="Z17" s="200">
        <f t="shared" si="2"/>
        <v>525</v>
      </c>
      <c r="AA17" s="193">
        <v>83</v>
      </c>
      <c r="AB17" s="194">
        <v>0</v>
      </c>
      <c r="AC17" s="195">
        <v>69</v>
      </c>
      <c r="AD17" s="201">
        <v>27</v>
      </c>
      <c r="AE17" s="221">
        <v>0</v>
      </c>
      <c r="AF17" s="220">
        <v>0</v>
      </c>
      <c r="AG17" s="199">
        <f t="shared" si="18"/>
        <v>179</v>
      </c>
      <c r="AH17" s="200">
        <f t="shared" si="19"/>
        <v>275</v>
      </c>
      <c r="AI17" s="203">
        <f t="shared" si="4"/>
        <v>530</v>
      </c>
      <c r="AJ17" s="204">
        <f t="shared" si="4"/>
        <v>800</v>
      </c>
      <c r="AK17" s="193"/>
      <c r="AL17" s="194"/>
      <c r="AM17" s="195"/>
      <c r="AN17" s="196"/>
      <c r="AO17" s="219"/>
      <c r="AP17" s="220"/>
      <c r="AQ17" s="205">
        <f t="shared" si="20"/>
        <v>0</v>
      </c>
      <c r="AR17" s="206">
        <f t="shared" si="21"/>
        <v>0</v>
      </c>
      <c r="AS17" s="193"/>
      <c r="AT17" s="194"/>
      <c r="AU17" s="195"/>
      <c r="AV17" s="196"/>
      <c r="AW17" s="219"/>
      <c r="AX17" s="220"/>
      <c r="AY17" s="205">
        <f t="shared" si="22"/>
        <v>0</v>
      </c>
      <c r="AZ17" s="206">
        <f t="shared" si="23"/>
        <v>0</v>
      </c>
      <c r="BA17" s="207">
        <f t="shared" si="7"/>
        <v>0</v>
      </c>
      <c r="BB17" s="204">
        <f t="shared" si="7"/>
        <v>0</v>
      </c>
      <c r="BC17" s="208">
        <f t="shared" si="8"/>
        <v>351</v>
      </c>
      <c r="BD17" s="209">
        <f t="shared" si="8"/>
        <v>525</v>
      </c>
      <c r="BE17" s="210">
        <f t="shared" si="9"/>
        <v>179</v>
      </c>
      <c r="BF17" s="211">
        <f t="shared" si="9"/>
        <v>275</v>
      </c>
      <c r="BG17" s="212">
        <f t="shared" si="10"/>
        <v>530</v>
      </c>
      <c r="BH17" s="213">
        <f t="shared" si="10"/>
        <v>800</v>
      </c>
      <c r="BI17" s="153"/>
    </row>
    <row r="18" spans="1:61" ht="21.6" thickBot="1" x14ac:dyDescent="0.35">
      <c r="A18" s="214" t="s">
        <v>40</v>
      </c>
      <c r="B18" s="179">
        <v>3</v>
      </c>
      <c r="C18" s="180">
        <v>10</v>
      </c>
      <c r="D18" s="215" t="s">
        <v>65</v>
      </c>
      <c r="E18" s="182" t="s">
        <v>103</v>
      </c>
      <c r="F18" s="183" t="s">
        <v>86</v>
      </c>
      <c r="G18" s="216" t="s">
        <v>104</v>
      </c>
      <c r="H18" s="217" t="s">
        <v>105</v>
      </c>
      <c r="I18" s="217" t="s">
        <v>106</v>
      </c>
      <c r="J18" s="218" t="s">
        <v>107</v>
      </c>
      <c r="K18" s="187">
        <f t="shared" si="11"/>
        <v>0.5118055555576575</v>
      </c>
      <c r="L18" s="188"/>
      <c r="M18" s="189">
        <f t="shared" si="12"/>
        <v>0.5118055555576575</v>
      </c>
      <c r="N18" s="189">
        <f t="shared" si="13"/>
        <v>0.64236111111677019</v>
      </c>
      <c r="O18" s="190">
        <f t="shared" si="14"/>
        <v>48.358208955025276</v>
      </c>
      <c r="P18" s="190">
        <f t="shared" si="15"/>
        <v>48.358208955025276</v>
      </c>
      <c r="Q18" s="191">
        <f t="shared" si="16"/>
        <v>38.52972972939029</v>
      </c>
      <c r="R18" s="192" t="s">
        <v>71</v>
      </c>
      <c r="S18" s="193">
        <v>131</v>
      </c>
      <c r="T18" s="194">
        <v>1</v>
      </c>
      <c r="U18" s="195">
        <v>149</v>
      </c>
      <c r="V18" s="196">
        <v>11</v>
      </c>
      <c r="W18" s="219">
        <v>0</v>
      </c>
      <c r="X18" s="220">
        <v>3</v>
      </c>
      <c r="Y18" s="199">
        <f t="shared" si="17"/>
        <v>295</v>
      </c>
      <c r="Z18" s="200">
        <f t="shared" si="2"/>
        <v>458</v>
      </c>
      <c r="AA18" s="193">
        <v>122</v>
      </c>
      <c r="AB18" s="194">
        <v>10</v>
      </c>
      <c r="AC18" s="195">
        <v>121</v>
      </c>
      <c r="AD18" s="201">
        <v>42</v>
      </c>
      <c r="AE18" s="221">
        <v>0</v>
      </c>
      <c r="AF18" s="220">
        <v>4</v>
      </c>
      <c r="AG18" s="199">
        <f t="shared" si="18"/>
        <v>299</v>
      </c>
      <c r="AH18" s="200">
        <f t="shared" si="19"/>
        <v>466</v>
      </c>
      <c r="AI18" s="203">
        <f t="shared" si="4"/>
        <v>594</v>
      </c>
      <c r="AJ18" s="204">
        <f t="shared" si="4"/>
        <v>924</v>
      </c>
      <c r="AK18" s="193"/>
      <c r="AL18" s="194"/>
      <c r="AM18" s="195"/>
      <c r="AN18" s="196"/>
      <c r="AO18" s="219"/>
      <c r="AP18" s="220"/>
      <c r="AQ18" s="205">
        <f t="shared" si="20"/>
        <v>0</v>
      </c>
      <c r="AR18" s="206">
        <f t="shared" si="21"/>
        <v>0</v>
      </c>
      <c r="AS18" s="193"/>
      <c r="AT18" s="194"/>
      <c r="AU18" s="195"/>
      <c r="AV18" s="196"/>
      <c r="AW18" s="219"/>
      <c r="AX18" s="220"/>
      <c r="AY18" s="205">
        <f t="shared" si="22"/>
        <v>0</v>
      </c>
      <c r="AZ18" s="206">
        <f t="shared" si="23"/>
        <v>0</v>
      </c>
      <c r="BA18" s="207">
        <f t="shared" si="7"/>
        <v>0</v>
      </c>
      <c r="BB18" s="204">
        <f t="shared" si="7"/>
        <v>0</v>
      </c>
      <c r="BC18" s="208">
        <f t="shared" si="8"/>
        <v>295</v>
      </c>
      <c r="BD18" s="209">
        <f t="shared" si="8"/>
        <v>458</v>
      </c>
      <c r="BE18" s="210">
        <f t="shared" si="9"/>
        <v>299</v>
      </c>
      <c r="BF18" s="211">
        <f t="shared" si="9"/>
        <v>466</v>
      </c>
      <c r="BG18" s="212">
        <f t="shared" si="10"/>
        <v>594</v>
      </c>
      <c r="BH18" s="213">
        <f t="shared" si="10"/>
        <v>924</v>
      </c>
      <c r="BI18" s="153"/>
    </row>
    <row r="19" spans="1:61" ht="21.6" thickBot="1" x14ac:dyDescent="0.35">
      <c r="A19" s="214" t="s">
        <v>40</v>
      </c>
      <c r="B19" s="179">
        <v>6</v>
      </c>
      <c r="C19" s="180">
        <v>11</v>
      </c>
      <c r="D19" s="181" t="s">
        <v>72</v>
      </c>
      <c r="E19" s="182" t="s">
        <v>108</v>
      </c>
      <c r="F19" s="183" t="s">
        <v>53</v>
      </c>
      <c r="G19" s="216" t="s">
        <v>109</v>
      </c>
      <c r="H19" s="217" t="s">
        <v>110</v>
      </c>
      <c r="I19" s="217" t="s">
        <v>111</v>
      </c>
      <c r="J19" s="218" t="s">
        <v>112</v>
      </c>
      <c r="K19" s="187">
        <f t="shared" si="11"/>
        <v>0.60277777777810115</v>
      </c>
      <c r="L19" s="188">
        <v>0.16666666666424135</v>
      </c>
      <c r="M19" s="189">
        <f t="shared" si="12"/>
        <v>0.43611111111385981</v>
      </c>
      <c r="N19" s="189">
        <f t="shared" si="13"/>
        <v>0.67708333333575865</v>
      </c>
      <c r="O19" s="190">
        <f t="shared" si="14"/>
        <v>44.331210190803397</v>
      </c>
      <c r="P19" s="190">
        <f t="shared" si="15"/>
        <v>32.073732718876805</v>
      </c>
      <c r="Q19" s="191">
        <f t="shared" si="16"/>
        <v>28.553846153743873</v>
      </c>
      <c r="R19" s="192" t="s">
        <v>57</v>
      </c>
      <c r="S19" s="193">
        <v>36</v>
      </c>
      <c r="T19" s="194">
        <v>0</v>
      </c>
      <c r="U19" s="195">
        <v>41</v>
      </c>
      <c r="V19" s="196">
        <v>5</v>
      </c>
      <c r="W19" s="219">
        <v>0</v>
      </c>
      <c r="X19" s="220">
        <v>0</v>
      </c>
      <c r="Y19" s="199">
        <f t="shared" si="17"/>
        <v>82</v>
      </c>
      <c r="Z19" s="200">
        <f t="shared" si="2"/>
        <v>128</v>
      </c>
      <c r="AA19" s="193">
        <v>137</v>
      </c>
      <c r="AB19" s="194">
        <v>0</v>
      </c>
      <c r="AC19" s="195">
        <v>145</v>
      </c>
      <c r="AD19" s="201">
        <v>55</v>
      </c>
      <c r="AE19" s="221">
        <v>0</v>
      </c>
      <c r="AF19" s="220">
        <v>25</v>
      </c>
      <c r="AG19" s="199">
        <f t="shared" si="18"/>
        <v>362</v>
      </c>
      <c r="AH19" s="200">
        <f t="shared" si="19"/>
        <v>587</v>
      </c>
      <c r="AI19" s="203">
        <f t="shared" si="4"/>
        <v>444</v>
      </c>
      <c r="AJ19" s="204">
        <f t="shared" si="4"/>
        <v>715</v>
      </c>
      <c r="AK19" s="193">
        <v>0</v>
      </c>
      <c r="AL19" s="194">
        <v>0</v>
      </c>
      <c r="AM19" s="195">
        <v>0</v>
      </c>
      <c r="AN19" s="196">
        <v>10</v>
      </c>
      <c r="AO19" s="219">
        <v>0</v>
      </c>
      <c r="AP19" s="220">
        <v>0</v>
      </c>
      <c r="AQ19" s="205">
        <f t="shared" si="20"/>
        <v>10</v>
      </c>
      <c r="AR19" s="206">
        <f t="shared" si="21"/>
        <v>20</v>
      </c>
      <c r="AS19" s="193">
        <v>0</v>
      </c>
      <c r="AT19" s="194">
        <v>0</v>
      </c>
      <c r="AU19" s="195">
        <v>0</v>
      </c>
      <c r="AV19" s="196">
        <v>10</v>
      </c>
      <c r="AW19" s="219">
        <v>0</v>
      </c>
      <c r="AX19" s="220">
        <v>0</v>
      </c>
      <c r="AY19" s="205">
        <f t="shared" si="22"/>
        <v>10</v>
      </c>
      <c r="AZ19" s="206">
        <f t="shared" si="23"/>
        <v>20</v>
      </c>
      <c r="BA19" s="207">
        <f t="shared" si="7"/>
        <v>20</v>
      </c>
      <c r="BB19" s="204">
        <f t="shared" si="7"/>
        <v>40</v>
      </c>
      <c r="BC19" s="208">
        <f t="shared" si="8"/>
        <v>92</v>
      </c>
      <c r="BD19" s="209">
        <f t="shared" si="8"/>
        <v>148</v>
      </c>
      <c r="BE19" s="210">
        <f t="shared" si="9"/>
        <v>372</v>
      </c>
      <c r="BF19" s="211">
        <f t="shared" si="9"/>
        <v>607</v>
      </c>
      <c r="BG19" s="212">
        <f t="shared" si="10"/>
        <v>464</v>
      </c>
      <c r="BH19" s="213">
        <f t="shared" si="10"/>
        <v>755</v>
      </c>
      <c r="BI19" s="153"/>
    </row>
    <row r="20" spans="1:61" ht="21.6" thickBot="1" x14ac:dyDescent="0.35">
      <c r="A20" s="214" t="s">
        <v>40</v>
      </c>
      <c r="B20" s="179">
        <v>4</v>
      </c>
      <c r="C20" s="180">
        <v>12</v>
      </c>
      <c r="D20" s="215" t="s">
        <v>79</v>
      </c>
      <c r="E20" s="182" t="s">
        <v>113</v>
      </c>
      <c r="F20" s="183" t="s">
        <v>86</v>
      </c>
      <c r="G20" s="216" t="s">
        <v>114</v>
      </c>
      <c r="H20" s="217" t="s">
        <v>115</v>
      </c>
      <c r="I20" s="217" t="s">
        <v>116</v>
      </c>
      <c r="J20" s="218" t="s">
        <v>117</v>
      </c>
      <c r="K20" s="187">
        <f t="shared" si="11"/>
        <v>0.47638888889196096</v>
      </c>
      <c r="L20" s="188"/>
      <c r="M20" s="189">
        <f t="shared" si="12"/>
        <v>0.47638888889196096</v>
      </c>
      <c r="N20" s="189">
        <f t="shared" si="13"/>
        <v>0.53125</v>
      </c>
      <c r="O20" s="190">
        <f t="shared" si="14"/>
        <v>54.139941690612972</v>
      </c>
      <c r="P20" s="190">
        <f t="shared" si="15"/>
        <v>54.139941690612972</v>
      </c>
      <c r="Q20" s="191">
        <f t="shared" si="16"/>
        <v>48.549019607843142</v>
      </c>
      <c r="R20" s="192" t="s">
        <v>71</v>
      </c>
      <c r="S20" s="193">
        <v>138</v>
      </c>
      <c r="T20" s="194">
        <v>0</v>
      </c>
      <c r="U20" s="195">
        <v>156</v>
      </c>
      <c r="V20" s="196">
        <v>12</v>
      </c>
      <c r="W20" s="219">
        <v>0</v>
      </c>
      <c r="X20" s="220">
        <v>1</v>
      </c>
      <c r="Y20" s="199">
        <f t="shared" si="17"/>
        <v>307</v>
      </c>
      <c r="Z20" s="200">
        <f t="shared" si="2"/>
        <v>476</v>
      </c>
      <c r="AA20" s="193">
        <v>120</v>
      </c>
      <c r="AB20" s="194">
        <v>22</v>
      </c>
      <c r="AC20" s="195">
        <v>125</v>
      </c>
      <c r="AD20" s="201">
        <v>44</v>
      </c>
      <c r="AE20" s="221">
        <v>0</v>
      </c>
      <c r="AF20" s="220">
        <v>1</v>
      </c>
      <c r="AG20" s="199">
        <f t="shared" si="18"/>
        <v>312</v>
      </c>
      <c r="AH20" s="200">
        <f t="shared" si="19"/>
        <v>482</v>
      </c>
      <c r="AI20" s="203">
        <f t="shared" si="4"/>
        <v>619</v>
      </c>
      <c r="AJ20" s="204">
        <f>Z20+AH20</f>
        <v>958</v>
      </c>
      <c r="AK20" s="193"/>
      <c r="AL20" s="194"/>
      <c r="AM20" s="195"/>
      <c r="AN20" s="196"/>
      <c r="AO20" s="219"/>
      <c r="AP20" s="220"/>
      <c r="AQ20" s="205">
        <f t="shared" si="20"/>
        <v>0</v>
      </c>
      <c r="AR20" s="206">
        <f t="shared" si="21"/>
        <v>0</v>
      </c>
      <c r="AS20" s="193"/>
      <c r="AT20" s="194"/>
      <c r="AU20" s="195"/>
      <c r="AV20" s="196"/>
      <c r="AW20" s="219"/>
      <c r="AX20" s="220"/>
      <c r="AY20" s="205">
        <f t="shared" si="22"/>
        <v>0</v>
      </c>
      <c r="AZ20" s="206">
        <f t="shared" si="23"/>
        <v>0</v>
      </c>
      <c r="BA20" s="207">
        <f t="shared" si="7"/>
        <v>0</v>
      </c>
      <c r="BB20" s="204">
        <f>AR20+AZ20</f>
        <v>0</v>
      </c>
      <c r="BC20" s="208">
        <f t="shared" si="8"/>
        <v>307</v>
      </c>
      <c r="BD20" s="209">
        <f>Z20+AR20</f>
        <v>476</v>
      </c>
      <c r="BE20" s="210">
        <f t="shared" si="9"/>
        <v>312</v>
      </c>
      <c r="BF20" s="211">
        <f>AH20+AZ20</f>
        <v>482</v>
      </c>
      <c r="BG20" s="212">
        <f t="shared" si="10"/>
        <v>619</v>
      </c>
      <c r="BH20" s="213">
        <f>BD20+BF20</f>
        <v>958</v>
      </c>
      <c r="BI20" s="153"/>
    </row>
    <row r="21" spans="1:61" ht="21.6" thickBot="1" x14ac:dyDescent="0.35">
      <c r="A21" s="214" t="s">
        <v>40</v>
      </c>
      <c r="B21" s="179">
        <v>7</v>
      </c>
      <c r="C21" s="180">
        <v>13</v>
      </c>
      <c r="D21" s="215" t="s">
        <v>51</v>
      </c>
      <c r="E21" s="182" t="s">
        <v>118</v>
      </c>
      <c r="F21" s="183" t="s">
        <v>119</v>
      </c>
      <c r="G21" s="216" t="s">
        <v>120</v>
      </c>
      <c r="H21" s="217" t="s">
        <v>121</v>
      </c>
      <c r="I21" s="217" t="s">
        <v>122</v>
      </c>
      <c r="J21" s="218" t="s">
        <v>123</v>
      </c>
      <c r="K21" s="187">
        <f t="shared" si="11"/>
        <v>0.492361111115315</v>
      </c>
      <c r="L21" s="188"/>
      <c r="M21" s="189">
        <f t="shared" si="12"/>
        <v>0.492361111115315</v>
      </c>
      <c r="N21" s="189">
        <f t="shared" si="13"/>
        <v>0.53125</v>
      </c>
      <c r="O21" s="190">
        <f t="shared" si="14"/>
        <v>51.791255288697435</v>
      </c>
      <c r="P21" s="190">
        <f t="shared" si="15"/>
        <v>51.791255288697435</v>
      </c>
      <c r="Q21" s="191">
        <f t="shared" si="16"/>
        <v>48</v>
      </c>
      <c r="R21" s="192" t="s">
        <v>57</v>
      </c>
      <c r="S21" s="193">
        <v>168</v>
      </c>
      <c r="T21" s="194">
        <v>0</v>
      </c>
      <c r="U21" s="195">
        <v>133</v>
      </c>
      <c r="V21" s="196">
        <v>25</v>
      </c>
      <c r="W21" s="219">
        <v>0</v>
      </c>
      <c r="X21" s="220">
        <v>4</v>
      </c>
      <c r="Y21" s="199">
        <f t="shared" si="17"/>
        <v>330</v>
      </c>
      <c r="Z21" s="200">
        <f t="shared" si="2"/>
        <v>492</v>
      </c>
      <c r="AA21" s="193">
        <v>126</v>
      </c>
      <c r="AB21" s="194">
        <v>0</v>
      </c>
      <c r="AC21" s="195">
        <v>104</v>
      </c>
      <c r="AD21" s="201">
        <v>33</v>
      </c>
      <c r="AE21" s="221">
        <v>0</v>
      </c>
      <c r="AF21" s="220">
        <v>19</v>
      </c>
      <c r="AG21" s="199">
        <f t="shared" si="18"/>
        <v>282</v>
      </c>
      <c r="AH21" s="200">
        <f t="shared" si="19"/>
        <v>438</v>
      </c>
      <c r="AI21" s="203">
        <f t="shared" si="4"/>
        <v>612</v>
      </c>
      <c r="AJ21" s="204">
        <f t="shared" si="4"/>
        <v>930</v>
      </c>
      <c r="AK21" s="193"/>
      <c r="AL21" s="194"/>
      <c r="AM21" s="195"/>
      <c r="AN21" s="196"/>
      <c r="AO21" s="219"/>
      <c r="AP21" s="220"/>
      <c r="AQ21" s="205">
        <f t="shared" si="20"/>
        <v>0</v>
      </c>
      <c r="AR21" s="206">
        <f t="shared" si="21"/>
        <v>0</v>
      </c>
      <c r="AS21" s="193"/>
      <c r="AT21" s="194"/>
      <c r="AU21" s="195"/>
      <c r="AV21" s="196"/>
      <c r="AW21" s="219"/>
      <c r="AX21" s="220"/>
      <c r="AY21" s="205">
        <f t="shared" si="22"/>
        <v>0</v>
      </c>
      <c r="AZ21" s="206">
        <f t="shared" si="23"/>
        <v>0</v>
      </c>
      <c r="BA21" s="207">
        <f t="shared" si="7"/>
        <v>0</v>
      </c>
      <c r="BB21" s="204">
        <f t="shared" si="7"/>
        <v>0</v>
      </c>
      <c r="BC21" s="208">
        <f t="shared" si="8"/>
        <v>330</v>
      </c>
      <c r="BD21" s="209">
        <f t="shared" si="8"/>
        <v>492</v>
      </c>
      <c r="BE21" s="210">
        <f t="shared" si="9"/>
        <v>282</v>
      </c>
      <c r="BF21" s="211">
        <f t="shared" si="9"/>
        <v>438</v>
      </c>
      <c r="BG21" s="212">
        <f t="shared" si="10"/>
        <v>612</v>
      </c>
      <c r="BH21" s="213">
        <f t="shared" si="10"/>
        <v>930</v>
      </c>
      <c r="BI21" s="153"/>
    </row>
    <row r="22" spans="1:61" ht="21.6" thickBot="1" x14ac:dyDescent="0.35">
      <c r="A22" s="214" t="s">
        <v>40</v>
      </c>
      <c r="B22" s="179">
        <v>8</v>
      </c>
      <c r="C22" s="180">
        <v>14</v>
      </c>
      <c r="D22" s="215" t="s">
        <v>58</v>
      </c>
      <c r="E22" s="182" t="s">
        <v>124</v>
      </c>
      <c r="F22" s="183" t="s">
        <v>86</v>
      </c>
      <c r="G22" s="216" t="s">
        <v>125</v>
      </c>
      <c r="H22" s="217" t="s">
        <v>126</v>
      </c>
      <c r="I22" s="217" t="s">
        <v>127</v>
      </c>
      <c r="J22" s="218" t="s">
        <v>128</v>
      </c>
      <c r="K22" s="187">
        <f t="shared" si="11"/>
        <v>0.62222222222044365</v>
      </c>
      <c r="L22" s="188">
        <v>0.23402777778392192</v>
      </c>
      <c r="M22" s="189">
        <f t="shared" si="12"/>
        <v>0.38819444443652174</v>
      </c>
      <c r="N22" s="189">
        <f t="shared" si="13"/>
        <v>0.79166666666424135</v>
      </c>
      <c r="O22" s="190">
        <f t="shared" si="14"/>
        <v>33.703041145589459</v>
      </c>
      <c r="P22" s="190">
        <f t="shared" si="15"/>
        <v>21.026785714345817</v>
      </c>
      <c r="Q22" s="191">
        <f t="shared" si="16"/>
        <v>16.526315789524315</v>
      </c>
      <c r="R22" s="192" t="s">
        <v>57</v>
      </c>
      <c r="S22" s="193">
        <v>42</v>
      </c>
      <c r="T22" s="194">
        <v>30</v>
      </c>
      <c r="U22" s="195">
        <v>30</v>
      </c>
      <c r="V22" s="196">
        <v>18</v>
      </c>
      <c r="W22" s="219">
        <v>0</v>
      </c>
      <c r="X22" s="220">
        <v>0</v>
      </c>
      <c r="Y22" s="199">
        <f t="shared" si="17"/>
        <v>120</v>
      </c>
      <c r="Z22" s="200">
        <f t="shared" si="2"/>
        <v>168</v>
      </c>
      <c r="AA22" s="193">
        <v>46</v>
      </c>
      <c r="AB22" s="194">
        <v>0</v>
      </c>
      <c r="AC22" s="195">
        <v>48</v>
      </c>
      <c r="AD22" s="201">
        <v>100</v>
      </c>
      <c r="AE22" s="221">
        <v>0</v>
      </c>
      <c r="AF22" s="220">
        <v>0</v>
      </c>
      <c r="AG22" s="199">
        <f t="shared" si="18"/>
        <v>194</v>
      </c>
      <c r="AH22" s="200">
        <f t="shared" si="19"/>
        <v>342</v>
      </c>
      <c r="AI22" s="203">
        <f t="shared" si="4"/>
        <v>314</v>
      </c>
      <c r="AJ22" s="204">
        <f t="shared" si="4"/>
        <v>510</v>
      </c>
      <c r="AK22" s="193"/>
      <c r="AL22" s="194"/>
      <c r="AM22" s="195"/>
      <c r="AN22" s="196"/>
      <c r="AO22" s="219"/>
      <c r="AP22" s="220"/>
      <c r="AQ22" s="205">
        <f t="shared" si="20"/>
        <v>0</v>
      </c>
      <c r="AR22" s="206">
        <f t="shared" si="21"/>
        <v>0</v>
      </c>
      <c r="AS22" s="193"/>
      <c r="AT22" s="194"/>
      <c r="AU22" s="195"/>
      <c r="AV22" s="196"/>
      <c r="AW22" s="219"/>
      <c r="AX22" s="220"/>
      <c r="AY22" s="205">
        <f t="shared" si="22"/>
        <v>0</v>
      </c>
      <c r="AZ22" s="206">
        <f t="shared" si="23"/>
        <v>0</v>
      </c>
      <c r="BA22" s="207">
        <f t="shared" si="7"/>
        <v>0</v>
      </c>
      <c r="BB22" s="204">
        <f t="shared" si="7"/>
        <v>0</v>
      </c>
      <c r="BC22" s="208">
        <f t="shared" si="8"/>
        <v>120</v>
      </c>
      <c r="BD22" s="209">
        <f t="shared" si="8"/>
        <v>168</v>
      </c>
      <c r="BE22" s="210">
        <f t="shared" si="9"/>
        <v>194</v>
      </c>
      <c r="BF22" s="211">
        <f t="shared" si="9"/>
        <v>342</v>
      </c>
      <c r="BG22" s="212">
        <f t="shared" si="10"/>
        <v>314</v>
      </c>
      <c r="BH22" s="213">
        <f t="shared" si="10"/>
        <v>510</v>
      </c>
      <c r="BI22" s="153"/>
    </row>
    <row r="23" spans="1:61" ht="21.6" thickBot="1" x14ac:dyDescent="0.35">
      <c r="A23" s="214" t="s">
        <v>40</v>
      </c>
      <c r="B23" s="179">
        <v>5</v>
      </c>
      <c r="C23" s="180">
        <v>15</v>
      </c>
      <c r="D23" s="215" t="s">
        <v>65</v>
      </c>
      <c r="E23" s="182" t="s">
        <v>129</v>
      </c>
      <c r="F23" s="183" t="s">
        <v>119</v>
      </c>
      <c r="G23" s="216" t="s">
        <v>130</v>
      </c>
      <c r="H23" s="217" t="s">
        <v>131</v>
      </c>
      <c r="I23" s="217" t="s">
        <v>132</v>
      </c>
      <c r="J23" s="218" t="s">
        <v>133</v>
      </c>
      <c r="K23" s="187">
        <f t="shared" si="11"/>
        <v>0.45069444444379769</v>
      </c>
      <c r="L23" s="188"/>
      <c r="M23" s="189">
        <f t="shared" si="12"/>
        <v>0.45069444444379769</v>
      </c>
      <c r="N23" s="189">
        <f t="shared" si="13"/>
        <v>0.49305555555474712</v>
      </c>
      <c r="O23" s="190">
        <f t="shared" si="14"/>
        <v>54.360554699615761</v>
      </c>
      <c r="P23" s="190">
        <f t="shared" si="15"/>
        <v>54.360554699615761</v>
      </c>
      <c r="Q23" s="191">
        <f t="shared" si="16"/>
        <v>49.690140845151895</v>
      </c>
      <c r="R23" s="192" t="s">
        <v>71</v>
      </c>
      <c r="S23" s="193">
        <v>128</v>
      </c>
      <c r="T23" s="194">
        <v>3</v>
      </c>
      <c r="U23" s="195">
        <v>151</v>
      </c>
      <c r="V23" s="196">
        <v>7</v>
      </c>
      <c r="W23" s="219">
        <v>0</v>
      </c>
      <c r="X23" s="220">
        <v>4</v>
      </c>
      <c r="Y23" s="199">
        <f t="shared" si="17"/>
        <v>293</v>
      </c>
      <c r="Z23" s="200">
        <f t="shared" si="2"/>
        <v>455</v>
      </c>
      <c r="AA23" s="193">
        <v>99</v>
      </c>
      <c r="AB23" s="194">
        <v>25</v>
      </c>
      <c r="AC23" s="195">
        <v>114</v>
      </c>
      <c r="AD23" s="201">
        <v>55</v>
      </c>
      <c r="AE23" s="221">
        <v>0</v>
      </c>
      <c r="AF23" s="220">
        <v>2</v>
      </c>
      <c r="AG23" s="199">
        <f t="shared" si="18"/>
        <v>295</v>
      </c>
      <c r="AH23" s="200">
        <f t="shared" si="19"/>
        <v>466</v>
      </c>
      <c r="AI23" s="203">
        <f t="shared" si="4"/>
        <v>588</v>
      </c>
      <c r="AJ23" s="204">
        <f t="shared" si="4"/>
        <v>921</v>
      </c>
      <c r="AK23" s="193"/>
      <c r="AL23" s="194"/>
      <c r="AM23" s="195"/>
      <c r="AN23" s="196"/>
      <c r="AO23" s="219"/>
      <c r="AP23" s="220"/>
      <c r="AQ23" s="205">
        <f t="shared" si="20"/>
        <v>0</v>
      </c>
      <c r="AR23" s="206">
        <f t="shared" si="21"/>
        <v>0</v>
      </c>
      <c r="AS23" s="193"/>
      <c r="AT23" s="194"/>
      <c r="AU23" s="195"/>
      <c r="AV23" s="196"/>
      <c r="AW23" s="219"/>
      <c r="AX23" s="220"/>
      <c r="AY23" s="205">
        <f t="shared" si="22"/>
        <v>0</v>
      </c>
      <c r="AZ23" s="206">
        <f t="shared" si="23"/>
        <v>0</v>
      </c>
      <c r="BA23" s="207">
        <f t="shared" si="7"/>
        <v>0</v>
      </c>
      <c r="BB23" s="204">
        <f t="shared" si="7"/>
        <v>0</v>
      </c>
      <c r="BC23" s="208">
        <f t="shared" si="8"/>
        <v>293</v>
      </c>
      <c r="BD23" s="209">
        <f t="shared" si="8"/>
        <v>455</v>
      </c>
      <c r="BE23" s="210">
        <f t="shared" si="9"/>
        <v>295</v>
      </c>
      <c r="BF23" s="211">
        <f t="shared" si="9"/>
        <v>466</v>
      </c>
      <c r="BG23" s="212">
        <f t="shared" si="10"/>
        <v>588</v>
      </c>
      <c r="BH23" s="213">
        <f t="shared" si="10"/>
        <v>921</v>
      </c>
      <c r="BI23" s="153"/>
    </row>
    <row r="24" spans="1:61" ht="21.6" thickBot="1" x14ac:dyDescent="0.35">
      <c r="A24" s="214" t="s">
        <v>40</v>
      </c>
      <c r="B24" s="179">
        <v>3</v>
      </c>
      <c r="C24" s="180">
        <v>16</v>
      </c>
      <c r="D24" s="181" t="s">
        <v>43</v>
      </c>
      <c r="E24" s="182" t="s">
        <v>134</v>
      </c>
      <c r="F24" s="183" t="s">
        <v>135</v>
      </c>
      <c r="G24" s="216" t="s">
        <v>136</v>
      </c>
      <c r="H24" s="217" t="s">
        <v>137</v>
      </c>
      <c r="I24" s="217" t="s">
        <v>138</v>
      </c>
      <c r="J24" s="218" t="s">
        <v>139</v>
      </c>
      <c r="K24" s="187">
        <f t="shared" si="11"/>
        <v>0.78125</v>
      </c>
      <c r="L24" s="222">
        <v>0.20833333333575865</v>
      </c>
      <c r="M24" s="189">
        <f t="shared" si="12"/>
        <v>0.57291666666424135</v>
      </c>
      <c r="N24" s="189">
        <f t="shared" si="13"/>
        <v>0.88888888889050577</v>
      </c>
      <c r="O24" s="190">
        <f t="shared" si="14"/>
        <v>45.600000000193035</v>
      </c>
      <c r="P24" s="190">
        <f t="shared" si="15"/>
        <v>33.44</v>
      </c>
      <c r="Q24" s="191">
        <f t="shared" si="16"/>
        <v>29.390624999946539</v>
      </c>
      <c r="R24" s="192" t="s">
        <v>50</v>
      </c>
      <c r="S24" s="193">
        <v>107</v>
      </c>
      <c r="T24" s="194">
        <v>5</v>
      </c>
      <c r="U24" s="195">
        <v>161</v>
      </c>
      <c r="V24" s="196">
        <v>59</v>
      </c>
      <c r="W24" s="219">
        <v>0</v>
      </c>
      <c r="X24" s="220">
        <v>0</v>
      </c>
      <c r="Y24" s="199">
        <f t="shared" si="17"/>
        <v>332</v>
      </c>
      <c r="Z24" s="200">
        <f t="shared" si="2"/>
        <v>552</v>
      </c>
      <c r="AA24" s="193">
        <v>155</v>
      </c>
      <c r="AB24" s="194">
        <v>0</v>
      </c>
      <c r="AC24" s="195">
        <v>130</v>
      </c>
      <c r="AD24" s="201">
        <v>10</v>
      </c>
      <c r="AE24" s="221">
        <v>0</v>
      </c>
      <c r="AF24" s="220">
        <v>0</v>
      </c>
      <c r="AG24" s="199">
        <f t="shared" si="18"/>
        <v>295</v>
      </c>
      <c r="AH24" s="200">
        <f t="shared" si="19"/>
        <v>435</v>
      </c>
      <c r="AI24" s="203">
        <f t="shared" si="4"/>
        <v>627</v>
      </c>
      <c r="AJ24" s="204">
        <f t="shared" si="4"/>
        <v>987</v>
      </c>
      <c r="AK24" s="193"/>
      <c r="AL24" s="194"/>
      <c r="AM24" s="195"/>
      <c r="AN24" s="196"/>
      <c r="AO24" s="219"/>
      <c r="AP24" s="220"/>
      <c r="AQ24" s="205">
        <f t="shared" si="20"/>
        <v>0</v>
      </c>
      <c r="AR24" s="206">
        <f t="shared" si="21"/>
        <v>0</v>
      </c>
      <c r="AS24" s="193"/>
      <c r="AT24" s="194"/>
      <c r="AU24" s="195"/>
      <c r="AV24" s="196"/>
      <c r="AW24" s="219"/>
      <c r="AX24" s="220"/>
      <c r="AY24" s="205">
        <f t="shared" si="22"/>
        <v>0</v>
      </c>
      <c r="AZ24" s="206">
        <f t="shared" si="23"/>
        <v>0</v>
      </c>
      <c r="BA24" s="207">
        <f t="shared" si="7"/>
        <v>0</v>
      </c>
      <c r="BB24" s="204">
        <f t="shared" si="7"/>
        <v>0</v>
      </c>
      <c r="BC24" s="208">
        <f t="shared" si="8"/>
        <v>332</v>
      </c>
      <c r="BD24" s="209">
        <f t="shared" si="8"/>
        <v>552</v>
      </c>
      <c r="BE24" s="210">
        <f t="shared" si="9"/>
        <v>295</v>
      </c>
      <c r="BF24" s="211">
        <f t="shared" si="9"/>
        <v>435</v>
      </c>
      <c r="BG24" s="212">
        <f t="shared" si="10"/>
        <v>627</v>
      </c>
      <c r="BH24" s="213">
        <f t="shared" si="10"/>
        <v>987</v>
      </c>
      <c r="BI24" s="153"/>
    </row>
    <row r="25" spans="1:61" ht="21.6" thickBot="1" x14ac:dyDescent="0.35">
      <c r="A25" s="214" t="s">
        <v>40</v>
      </c>
      <c r="B25" s="179">
        <v>9</v>
      </c>
      <c r="C25" s="180">
        <v>17</v>
      </c>
      <c r="D25" s="181" t="s">
        <v>72</v>
      </c>
      <c r="E25" s="182" t="s">
        <v>140</v>
      </c>
      <c r="F25" s="183" t="s">
        <v>86</v>
      </c>
      <c r="G25" s="216" t="s">
        <v>141</v>
      </c>
      <c r="H25" s="217" t="s">
        <v>142</v>
      </c>
      <c r="I25" s="217" t="s">
        <v>143</v>
      </c>
      <c r="J25" s="218" t="s">
        <v>144</v>
      </c>
      <c r="K25" s="223">
        <f t="shared" si="11"/>
        <v>0.46458333333430346</v>
      </c>
      <c r="L25" s="188"/>
      <c r="M25" s="189">
        <f t="shared" si="12"/>
        <v>0.46458333333430346</v>
      </c>
      <c r="N25" s="189">
        <f t="shared" si="13"/>
        <v>0.51388888889050577</v>
      </c>
      <c r="O25" s="190">
        <f t="shared" si="14"/>
        <v>37.66816143489892</v>
      </c>
      <c r="P25" s="190">
        <f t="shared" si="15"/>
        <v>37.66816143489892</v>
      </c>
      <c r="Q25" s="191">
        <f t="shared" si="16"/>
        <v>34.054054053946906</v>
      </c>
      <c r="R25" s="192" t="s">
        <v>57</v>
      </c>
      <c r="S25" s="193">
        <v>133</v>
      </c>
      <c r="T25" s="194">
        <v>0</v>
      </c>
      <c r="U25" s="195">
        <v>80</v>
      </c>
      <c r="V25" s="196">
        <v>55</v>
      </c>
      <c r="W25" s="219">
        <v>0</v>
      </c>
      <c r="X25" s="220">
        <v>5</v>
      </c>
      <c r="Y25" s="199">
        <f t="shared" si="17"/>
        <v>273</v>
      </c>
      <c r="Z25" s="200">
        <f t="shared" si="2"/>
        <v>413</v>
      </c>
      <c r="AA25" s="193">
        <v>87</v>
      </c>
      <c r="AB25" s="194">
        <v>0</v>
      </c>
      <c r="AC25" s="195">
        <v>53</v>
      </c>
      <c r="AD25" s="201">
        <v>0</v>
      </c>
      <c r="AE25" s="221">
        <v>0</v>
      </c>
      <c r="AF25" s="220">
        <v>7</v>
      </c>
      <c r="AG25" s="199">
        <f t="shared" si="18"/>
        <v>147</v>
      </c>
      <c r="AH25" s="200">
        <f t="shared" si="19"/>
        <v>207</v>
      </c>
      <c r="AI25" s="203">
        <f t="shared" si="4"/>
        <v>420</v>
      </c>
      <c r="AJ25" s="204">
        <f t="shared" si="4"/>
        <v>620</v>
      </c>
      <c r="AK25" s="193"/>
      <c r="AL25" s="194"/>
      <c r="AM25" s="195"/>
      <c r="AN25" s="196"/>
      <c r="AO25" s="219"/>
      <c r="AP25" s="220"/>
      <c r="AQ25" s="205">
        <f t="shared" si="20"/>
        <v>0</v>
      </c>
      <c r="AR25" s="206">
        <f t="shared" si="21"/>
        <v>0</v>
      </c>
      <c r="AS25" s="193"/>
      <c r="AT25" s="194"/>
      <c r="AU25" s="195"/>
      <c r="AV25" s="196"/>
      <c r="AW25" s="219"/>
      <c r="AX25" s="220"/>
      <c r="AY25" s="205">
        <f t="shared" si="22"/>
        <v>0</v>
      </c>
      <c r="AZ25" s="206">
        <f t="shared" si="23"/>
        <v>0</v>
      </c>
      <c r="BA25" s="207">
        <f t="shared" si="7"/>
        <v>0</v>
      </c>
      <c r="BB25" s="204">
        <f t="shared" si="7"/>
        <v>0</v>
      </c>
      <c r="BC25" s="208">
        <f t="shared" si="8"/>
        <v>273</v>
      </c>
      <c r="BD25" s="209">
        <f t="shared" si="8"/>
        <v>413</v>
      </c>
      <c r="BE25" s="210">
        <f t="shared" si="9"/>
        <v>147</v>
      </c>
      <c r="BF25" s="211">
        <f t="shared" si="9"/>
        <v>207</v>
      </c>
      <c r="BG25" s="212">
        <f t="shared" si="10"/>
        <v>420</v>
      </c>
      <c r="BH25" s="213">
        <f t="shared" si="10"/>
        <v>620</v>
      </c>
      <c r="BI25" s="153"/>
    </row>
    <row r="26" spans="1:61" ht="21.6" thickBot="1" x14ac:dyDescent="0.35">
      <c r="A26" s="214" t="s">
        <v>40</v>
      </c>
      <c r="B26" s="179">
        <v>6</v>
      </c>
      <c r="C26" s="180">
        <v>18</v>
      </c>
      <c r="D26" s="215" t="s">
        <v>79</v>
      </c>
      <c r="E26" s="182" t="s">
        <v>145</v>
      </c>
      <c r="F26" s="183" t="s">
        <v>119</v>
      </c>
      <c r="G26" s="216" t="s">
        <v>146</v>
      </c>
      <c r="H26" s="217" t="s">
        <v>147</v>
      </c>
      <c r="I26" s="217" t="s">
        <v>148</v>
      </c>
      <c r="J26" s="218" t="s">
        <v>149</v>
      </c>
      <c r="K26" s="187">
        <f t="shared" si="11"/>
        <v>0.49375000000145519</v>
      </c>
      <c r="L26" s="188"/>
      <c r="M26" s="189">
        <f t="shared" si="12"/>
        <v>0.49375000000145519</v>
      </c>
      <c r="N26" s="189">
        <f t="shared" si="13"/>
        <v>0.55208333333575865</v>
      </c>
      <c r="O26" s="190">
        <f t="shared" si="14"/>
        <v>48.185654008296808</v>
      </c>
      <c r="P26" s="190">
        <f t="shared" si="15"/>
        <v>48.185654008296808</v>
      </c>
      <c r="Q26" s="191">
        <f t="shared" si="16"/>
        <v>43.094339622452196</v>
      </c>
      <c r="R26" s="192" t="s">
        <v>71</v>
      </c>
      <c r="S26" s="193">
        <v>110</v>
      </c>
      <c r="T26" s="194">
        <v>2</v>
      </c>
      <c r="U26" s="195">
        <v>169</v>
      </c>
      <c r="V26" s="196">
        <v>2</v>
      </c>
      <c r="W26" s="219">
        <v>0</v>
      </c>
      <c r="X26" s="220">
        <v>5</v>
      </c>
      <c r="Y26" s="199">
        <f t="shared" si="17"/>
        <v>288</v>
      </c>
      <c r="Z26" s="200">
        <f t="shared" si="2"/>
        <v>464</v>
      </c>
      <c r="AA26" s="193">
        <v>89</v>
      </c>
      <c r="AB26" s="194">
        <v>25</v>
      </c>
      <c r="AC26" s="195">
        <v>109</v>
      </c>
      <c r="AD26" s="201">
        <v>60</v>
      </c>
      <c r="AE26" s="221">
        <v>0</v>
      </c>
      <c r="AF26" s="220">
        <v>0</v>
      </c>
      <c r="AG26" s="199">
        <f t="shared" si="18"/>
        <v>283</v>
      </c>
      <c r="AH26" s="200">
        <f t="shared" si="19"/>
        <v>452</v>
      </c>
      <c r="AI26" s="203">
        <f t="shared" si="4"/>
        <v>571</v>
      </c>
      <c r="AJ26" s="204">
        <f t="shared" si="4"/>
        <v>916</v>
      </c>
      <c r="AK26" s="193"/>
      <c r="AL26" s="194"/>
      <c r="AM26" s="195"/>
      <c r="AN26" s="196"/>
      <c r="AO26" s="219"/>
      <c r="AP26" s="220"/>
      <c r="AQ26" s="205">
        <f t="shared" si="20"/>
        <v>0</v>
      </c>
      <c r="AR26" s="206">
        <f t="shared" si="21"/>
        <v>0</v>
      </c>
      <c r="AS26" s="193"/>
      <c r="AT26" s="194"/>
      <c r="AU26" s="195"/>
      <c r="AV26" s="196"/>
      <c r="AW26" s="219"/>
      <c r="AX26" s="220"/>
      <c r="AY26" s="205">
        <f t="shared" si="22"/>
        <v>0</v>
      </c>
      <c r="AZ26" s="206">
        <f t="shared" si="23"/>
        <v>0</v>
      </c>
      <c r="BA26" s="207">
        <f t="shared" si="7"/>
        <v>0</v>
      </c>
      <c r="BB26" s="204">
        <f t="shared" si="7"/>
        <v>0</v>
      </c>
      <c r="BC26" s="208">
        <f t="shared" si="8"/>
        <v>288</v>
      </c>
      <c r="BD26" s="209">
        <f t="shared" si="8"/>
        <v>464</v>
      </c>
      <c r="BE26" s="210">
        <f t="shared" si="9"/>
        <v>283</v>
      </c>
      <c r="BF26" s="211">
        <f t="shared" si="9"/>
        <v>452</v>
      </c>
      <c r="BG26" s="212">
        <f t="shared" si="10"/>
        <v>571</v>
      </c>
      <c r="BH26" s="213">
        <f t="shared" si="10"/>
        <v>916</v>
      </c>
      <c r="BI26" s="153"/>
    </row>
    <row r="27" spans="1:61" ht="21.6" thickBot="1" x14ac:dyDescent="0.35">
      <c r="A27" s="214" t="s">
        <v>40</v>
      </c>
      <c r="B27" s="179">
        <v>10</v>
      </c>
      <c r="C27" s="180">
        <v>19</v>
      </c>
      <c r="D27" s="215" t="s">
        <v>150</v>
      </c>
      <c r="E27" s="182" t="s">
        <v>151</v>
      </c>
      <c r="F27" s="183" t="s">
        <v>152</v>
      </c>
      <c r="G27" s="216" t="s">
        <v>153</v>
      </c>
      <c r="H27" s="217" t="s">
        <v>154</v>
      </c>
      <c r="I27" s="217" t="s">
        <v>155</v>
      </c>
      <c r="J27" s="218" t="s">
        <v>155</v>
      </c>
      <c r="K27" s="187">
        <f t="shared" si="11"/>
        <v>0.19861111111094942</v>
      </c>
      <c r="L27" s="188"/>
      <c r="M27" s="189">
        <f t="shared" si="12"/>
        <v>0.19861111111094942</v>
      </c>
      <c r="N27" s="189">
        <f t="shared" si="13"/>
        <v>0.23194444444379769</v>
      </c>
      <c r="O27" s="190">
        <f t="shared" si="14"/>
        <v>37.552447552478121</v>
      </c>
      <c r="P27" s="190">
        <f t="shared" si="15"/>
        <v>37.552447552478121</v>
      </c>
      <c r="Q27" s="191">
        <f t="shared" si="16"/>
        <v>32.155688622844153</v>
      </c>
      <c r="R27" s="192" t="s">
        <v>57</v>
      </c>
      <c r="S27" s="193">
        <v>111</v>
      </c>
      <c r="T27" s="194">
        <v>0</v>
      </c>
      <c r="U27" s="195">
        <v>62</v>
      </c>
      <c r="V27" s="196">
        <v>0</v>
      </c>
      <c r="W27" s="219">
        <v>0</v>
      </c>
      <c r="X27" s="220">
        <v>6</v>
      </c>
      <c r="Y27" s="199">
        <f t="shared" si="17"/>
        <v>179</v>
      </c>
      <c r="Z27" s="200">
        <f>Y27+SUM(U27:V27)+X27</f>
        <v>247</v>
      </c>
      <c r="AA27" s="193">
        <v>0</v>
      </c>
      <c r="AB27" s="194">
        <v>0</v>
      </c>
      <c r="AC27" s="195">
        <v>0</v>
      </c>
      <c r="AD27" s="201">
        <v>0</v>
      </c>
      <c r="AE27" s="221">
        <v>0</v>
      </c>
      <c r="AF27" s="220">
        <v>0</v>
      </c>
      <c r="AG27" s="199">
        <f>SUM(AA27:AF27)</f>
        <v>0</v>
      </c>
      <c r="AH27" s="200">
        <f>AG27+SUM(AC27:AD27)+AF27</f>
        <v>0</v>
      </c>
      <c r="AI27" s="203">
        <f t="shared" si="4"/>
        <v>179</v>
      </c>
      <c r="AJ27" s="204">
        <f t="shared" si="4"/>
        <v>247</v>
      </c>
      <c r="AK27" s="193"/>
      <c r="AL27" s="194"/>
      <c r="AM27" s="195"/>
      <c r="AN27" s="196"/>
      <c r="AO27" s="219"/>
      <c r="AP27" s="220"/>
      <c r="AQ27" s="205">
        <f t="shared" si="20"/>
        <v>0</v>
      </c>
      <c r="AR27" s="206">
        <f>AQ27+SUM(AM27:AN27)+AP27</f>
        <v>0</v>
      </c>
      <c r="AS27" s="193"/>
      <c r="AT27" s="194"/>
      <c r="AU27" s="195"/>
      <c r="AV27" s="196"/>
      <c r="AW27" s="219"/>
      <c r="AX27" s="220"/>
      <c r="AY27" s="205">
        <f t="shared" si="22"/>
        <v>0</v>
      </c>
      <c r="AZ27" s="206">
        <f t="shared" si="23"/>
        <v>0</v>
      </c>
      <c r="BA27" s="207">
        <f t="shared" si="7"/>
        <v>0</v>
      </c>
      <c r="BB27" s="204">
        <f t="shared" si="7"/>
        <v>0</v>
      </c>
      <c r="BC27" s="208">
        <f t="shared" si="8"/>
        <v>179</v>
      </c>
      <c r="BD27" s="209">
        <f t="shared" si="8"/>
        <v>247</v>
      </c>
      <c r="BE27" s="210">
        <f t="shared" si="9"/>
        <v>0</v>
      </c>
      <c r="BF27" s="211">
        <f t="shared" si="9"/>
        <v>0</v>
      </c>
      <c r="BG27" s="212">
        <f t="shared" si="10"/>
        <v>179</v>
      </c>
      <c r="BH27" s="213">
        <f t="shared" si="10"/>
        <v>247</v>
      </c>
      <c r="BI27" s="153"/>
    </row>
    <row r="28" spans="1:61" ht="21.6" thickBot="1" x14ac:dyDescent="0.35">
      <c r="A28" s="214" t="s">
        <v>40</v>
      </c>
      <c r="B28" s="179">
        <v>7</v>
      </c>
      <c r="C28" s="180">
        <v>20</v>
      </c>
      <c r="D28" s="215" t="s">
        <v>65</v>
      </c>
      <c r="E28" s="182" t="s">
        <v>156</v>
      </c>
      <c r="F28" s="183" t="s">
        <v>157</v>
      </c>
      <c r="G28" s="224" t="s">
        <v>158</v>
      </c>
      <c r="H28" s="225" t="s">
        <v>159</v>
      </c>
      <c r="I28" s="225" t="s">
        <v>160</v>
      </c>
      <c r="J28" s="226" t="s">
        <v>161</v>
      </c>
      <c r="K28" s="187">
        <f t="shared" si="11"/>
        <v>0.99166666666133096</v>
      </c>
      <c r="L28" s="188">
        <v>0.53472222222626442</v>
      </c>
      <c r="M28" s="189">
        <f t="shared" si="12"/>
        <v>0.45694444443506654</v>
      </c>
      <c r="N28" s="189">
        <f t="shared" si="13"/>
        <v>1.6041666666715173</v>
      </c>
      <c r="O28" s="190">
        <f t="shared" si="14"/>
        <v>37.386018237849342</v>
      </c>
      <c r="P28" s="190">
        <f t="shared" si="15"/>
        <v>17.226890756395211</v>
      </c>
      <c r="Q28" s="191">
        <f t="shared" si="16"/>
        <v>10.649350649318448</v>
      </c>
      <c r="R28" s="227" t="s">
        <v>71</v>
      </c>
      <c r="S28" s="193">
        <v>104</v>
      </c>
      <c r="T28" s="194">
        <v>0</v>
      </c>
      <c r="U28" s="195">
        <v>86</v>
      </c>
      <c r="V28" s="196">
        <v>4</v>
      </c>
      <c r="W28" s="219">
        <v>0</v>
      </c>
      <c r="X28" s="220">
        <v>1</v>
      </c>
      <c r="Y28" s="199">
        <f t="shared" si="17"/>
        <v>195</v>
      </c>
      <c r="Z28" s="200">
        <f>Y28+SUM(U28:V28)+X28</f>
        <v>286</v>
      </c>
      <c r="AA28" s="193">
        <v>86</v>
      </c>
      <c r="AB28" s="194">
        <v>0</v>
      </c>
      <c r="AC28" s="195">
        <v>129</v>
      </c>
      <c r="AD28" s="201">
        <v>0</v>
      </c>
      <c r="AE28" s="221">
        <v>0</v>
      </c>
      <c r="AF28" s="220">
        <v>0</v>
      </c>
      <c r="AG28" s="199">
        <f>SUM(AA28:AF28)</f>
        <v>215</v>
      </c>
      <c r="AH28" s="200">
        <f>AG28+SUM(AC28:AD28)+AF28</f>
        <v>344</v>
      </c>
      <c r="AI28" s="203">
        <f t="shared" si="4"/>
        <v>410</v>
      </c>
      <c r="AJ28" s="204">
        <f t="shared" si="4"/>
        <v>630</v>
      </c>
      <c r="AK28" s="193"/>
      <c r="AL28" s="194"/>
      <c r="AM28" s="195"/>
      <c r="AN28" s="196"/>
      <c r="AO28" s="219"/>
      <c r="AP28" s="220"/>
      <c r="AQ28" s="205">
        <f t="shared" si="20"/>
        <v>0</v>
      </c>
      <c r="AR28" s="206">
        <f>AQ28+SUM(AM28:AN28)+AP28</f>
        <v>0</v>
      </c>
      <c r="AS28" s="193"/>
      <c r="AT28" s="194"/>
      <c r="AU28" s="195"/>
      <c r="AV28" s="196"/>
      <c r="AW28" s="219"/>
      <c r="AX28" s="220"/>
      <c r="AY28" s="205">
        <f t="shared" si="22"/>
        <v>0</v>
      </c>
      <c r="AZ28" s="206">
        <f t="shared" si="23"/>
        <v>0</v>
      </c>
      <c r="BA28" s="207">
        <f t="shared" si="7"/>
        <v>0</v>
      </c>
      <c r="BB28" s="204">
        <f t="shared" si="7"/>
        <v>0</v>
      </c>
      <c r="BC28" s="208">
        <f t="shared" si="8"/>
        <v>195</v>
      </c>
      <c r="BD28" s="209">
        <f t="shared" si="8"/>
        <v>286</v>
      </c>
      <c r="BE28" s="210">
        <f t="shared" si="9"/>
        <v>215</v>
      </c>
      <c r="BF28" s="211">
        <f t="shared" si="9"/>
        <v>344</v>
      </c>
      <c r="BG28" s="212">
        <f t="shared" si="10"/>
        <v>410</v>
      </c>
      <c r="BH28" s="213">
        <f t="shared" si="10"/>
        <v>630</v>
      </c>
      <c r="BI28" s="153"/>
    </row>
    <row r="29" spans="1:61" ht="21.6" thickBot="1" x14ac:dyDescent="0.35">
      <c r="A29" s="214" t="s">
        <v>40</v>
      </c>
      <c r="B29" s="179">
        <v>11</v>
      </c>
      <c r="C29" s="180">
        <v>21</v>
      </c>
      <c r="D29" s="215" t="s">
        <v>58</v>
      </c>
      <c r="E29" s="182" t="s">
        <v>162</v>
      </c>
      <c r="F29" s="183" t="s">
        <v>119</v>
      </c>
      <c r="G29" s="216" t="s">
        <v>163</v>
      </c>
      <c r="H29" s="217" t="s">
        <v>164</v>
      </c>
      <c r="I29" s="217" t="s">
        <v>165</v>
      </c>
      <c r="J29" s="218" t="s">
        <v>166</v>
      </c>
      <c r="K29" s="187">
        <f t="shared" si="11"/>
        <v>0.44444444444525288</v>
      </c>
      <c r="L29" s="188"/>
      <c r="M29" s="189">
        <f t="shared" si="12"/>
        <v>0.44444444444525288</v>
      </c>
      <c r="N29" s="189">
        <f t="shared" si="13"/>
        <v>1.4236111111094942</v>
      </c>
      <c r="O29" s="190">
        <f t="shared" si="14"/>
        <v>48.937499999910983</v>
      </c>
      <c r="P29" s="190">
        <f t="shared" si="15"/>
        <v>48.937499999910983</v>
      </c>
      <c r="Q29" s="191">
        <f t="shared" si="16"/>
        <v>15.278048780505157</v>
      </c>
      <c r="R29" s="192" t="s">
        <v>57</v>
      </c>
      <c r="S29" s="193">
        <v>29</v>
      </c>
      <c r="T29" s="194">
        <v>4</v>
      </c>
      <c r="U29" s="195">
        <v>61</v>
      </c>
      <c r="V29" s="196">
        <v>106</v>
      </c>
      <c r="W29" s="219">
        <v>0</v>
      </c>
      <c r="X29" s="220">
        <v>0</v>
      </c>
      <c r="Y29" s="199">
        <f>SUM(S29:X29)</f>
        <v>200</v>
      </c>
      <c r="Z29" s="200">
        <f>Y29+SUM(U29:V29)+X29</f>
        <v>367</v>
      </c>
      <c r="AA29" s="193">
        <v>36</v>
      </c>
      <c r="AB29" s="194">
        <v>0</v>
      </c>
      <c r="AC29" s="195">
        <v>42</v>
      </c>
      <c r="AD29" s="201">
        <v>190</v>
      </c>
      <c r="AE29" s="221">
        <v>0</v>
      </c>
      <c r="AF29" s="220">
        <v>0</v>
      </c>
      <c r="AG29" s="199">
        <f>SUM(AA29:AF29)</f>
        <v>268</v>
      </c>
      <c r="AH29" s="200">
        <f>AG29+SUM(AC29:AD29)+AF29</f>
        <v>500</v>
      </c>
      <c r="AI29" s="203">
        <f t="shared" si="4"/>
        <v>468</v>
      </c>
      <c r="AJ29" s="204">
        <f t="shared" si="4"/>
        <v>867</v>
      </c>
      <c r="AK29" s="193">
        <v>0</v>
      </c>
      <c r="AL29" s="194">
        <v>0</v>
      </c>
      <c r="AM29" s="195">
        <v>27</v>
      </c>
      <c r="AN29" s="196">
        <v>0</v>
      </c>
      <c r="AO29" s="219">
        <v>0</v>
      </c>
      <c r="AP29" s="220">
        <v>0</v>
      </c>
      <c r="AQ29" s="205">
        <f t="shared" si="20"/>
        <v>27</v>
      </c>
      <c r="AR29" s="206">
        <f>AQ29+SUM(AM29:AN29)+AP29</f>
        <v>54</v>
      </c>
      <c r="AS29" s="193">
        <v>0</v>
      </c>
      <c r="AT29" s="194">
        <v>0</v>
      </c>
      <c r="AU29" s="195">
        <v>27</v>
      </c>
      <c r="AV29" s="196">
        <v>0</v>
      </c>
      <c r="AW29" s="219">
        <v>0</v>
      </c>
      <c r="AX29" s="220">
        <v>0</v>
      </c>
      <c r="AY29" s="205">
        <f t="shared" si="22"/>
        <v>27</v>
      </c>
      <c r="AZ29" s="206">
        <f t="shared" si="23"/>
        <v>54</v>
      </c>
      <c r="BA29" s="207">
        <f t="shared" si="7"/>
        <v>54</v>
      </c>
      <c r="BB29" s="204">
        <f t="shared" si="7"/>
        <v>108</v>
      </c>
      <c r="BC29" s="208">
        <f t="shared" si="8"/>
        <v>227</v>
      </c>
      <c r="BD29" s="209">
        <f t="shared" si="8"/>
        <v>421</v>
      </c>
      <c r="BE29" s="210">
        <f t="shared" si="9"/>
        <v>295</v>
      </c>
      <c r="BF29" s="211">
        <f t="shared" si="9"/>
        <v>554</v>
      </c>
      <c r="BG29" s="212">
        <f t="shared" si="10"/>
        <v>522</v>
      </c>
      <c r="BH29" s="213">
        <f t="shared" si="10"/>
        <v>975</v>
      </c>
      <c r="BI29" s="153"/>
    </row>
    <row r="30" spans="1:61" ht="21.6" thickBot="1" x14ac:dyDescent="0.35">
      <c r="A30" s="214" t="s">
        <v>40</v>
      </c>
      <c r="B30" s="179">
        <v>12</v>
      </c>
      <c r="C30" s="180">
        <v>22</v>
      </c>
      <c r="D30" s="215" t="s">
        <v>72</v>
      </c>
      <c r="E30" s="182" t="s">
        <v>167</v>
      </c>
      <c r="F30" s="183" t="s">
        <v>119</v>
      </c>
      <c r="G30" s="216" t="s">
        <v>168</v>
      </c>
      <c r="H30" s="217" t="s">
        <v>169</v>
      </c>
      <c r="I30" s="217" t="s">
        <v>170</v>
      </c>
      <c r="J30" s="218" t="s">
        <v>171</v>
      </c>
      <c r="K30" s="187">
        <f t="shared" si="11"/>
        <v>0.31805555555911269</v>
      </c>
      <c r="L30" s="188"/>
      <c r="M30" s="189">
        <f t="shared" si="12"/>
        <v>0.31805555555911269</v>
      </c>
      <c r="N30" s="189">
        <f t="shared" si="13"/>
        <v>0.38749999999708962</v>
      </c>
      <c r="O30" s="190">
        <f t="shared" si="14"/>
        <v>44.672489082469816</v>
      </c>
      <c r="P30" s="190">
        <f t="shared" si="15"/>
        <v>44.672489082469816</v>
      </c>
      <c r="Q30" s="191">
        <f t="shared" si="16"/>
        <v>36.666666666942056</v>
      </c>
      <c r="R30" s="192" t="s">
        <v>57</v>
      </c>
      <c r="S30" s="193">
        <v>59</v>
      </c>
      <c r="T30" s="194">
        <v>0</v>
      </c>
      <c r="U30" s="195">
        <v>70</v>
      </c>
      <c r="V30" s="196">
        <v>0</v>
      </c>
      <c r="W30" s="219">
        <v>0</v>
      </c>
      <c r="X30" s="220">
        <v>10</v>
      </c>
      <c r="Y30" s="199">
        <f>SUM(S30:X30)</f>
        <v>139</v>
      </c>
      <c r="Z30" s="200">
        <f>Y30+SUM(U30:V30)+X30</f>
        <v>219</v>
      </c>
      <c r="AA30" s="193">
        <v>140</v>
      </c>
      <c r="AB30" s="194">
        <v>0</v>
      </c>
      <c r="AC30" s="195">
        <v>62</v>
      </c>
      <c r="AD30" s="201">
        <v>0</v>
      </c>
      <c r="AE30" s="221">
        <v>0</v>
      </c>
      <c r="AF30" s="220">
        <v>0</v>
      </c>
      <c r="AG30" s="199">
        <f>SUM(AA30:AF30)</f>
        <v>202</v>
      </c>
      <c r="AH30" s="200">
        <f>AG30+SUM(AC30:AD30)+AF30</f>
        <v>264</v>
      </c>
      <c r="AI30" s="203">
        <f t="shared" si="4"/>
        <v>341</v>
      </c>
      <c r="AJ30" s="204">
        <f t="shared" si="4"/>
        <v>483</v>
      </c>
      <c r="AK30" s="193"/>
      <c r="AL30" s="194"/>
      <c r="AM30" s="195"/>
      <c r="AN30" s="196"/>
      <c r="AO30" s="219"/>
      <c r="AP30" s="220"/>
      <c r="AQ30" s="205">
        <f t="shared" si="20"/>
        <v>0</v>
      </c>
      <c r="AR30" s="206">
        <f>AQ30+SUM(AM30:AN30)+AP30</f>
        <v>0</v>
      </c>
      <c r="AS30" s="193"/>
      <c r="AT30" s="194"/>
      <c r="AU30" s="195"/>
      <c r="AV30" s="196"/>
      <c r="AW30" s="219"/>
      <c r="AX30" s="220"/>
      <c r="AY30" s="205">
        <f t="shared" si="22"/>
        <v>0</v>
      </c>
      <c r="AZ30" s="206">
        <f t="shared" si="23"/>
        <v>0</v>
      </c>
      <c r="BA30" s="207">
        <f t="shared" si="7"/>
        <v>0</v>
      </c>
      <c r="BB30" s="204">
        <f t="shared" si="7"/>
        <v>0</v>
      </c>
      <c r="BC30" s="208">
        <f t="shared" si="8"/>
        <v>139</v>
      </c>
      <c r="BD30" s="209">
        <f t="shared" si="8"/>
        <v>219</v>
      </c>
      <c r="BE30" s="210">
        <f t="shared" si="9"/>
        <v>202</v>
      </c>
      <c r="BF30" s="211">
        <f t="shared" si="9"/>
        <v>264</v>
      </c>
      <c r="BG30" s="212">
        <f t="shared" si="10"/>
        <v>341</v>
      </c>
      <c r="BH30" s="213">
        <f t="shared" si="10"/>
        <v>483</v>
      </c>
      <c r="BI30" s="153"/>
    </row>
    <row r="31" spans="1:61" ht="21" hidden="1" customHeight="1" thickBot="1" x14ac:dyDescent="0.35">
      <c r="A31" s="214" t="s">
        <v>40</v>
      </c>
      <c r="B31" s="228"/>
      <c r="C31" s="180"/>
      <c r="D31" s="215"/>
      <c r="E31" s="182"/>
      <c r="F31" s="183"/>
      <c r="G31" s="216"/>
      <c r="H31" s="217"/>
      <c r="I31" s="217"/>
      <c r="J31" s="218"/>
      <c r="K31" s="223">
        <f t="shared" si="11"/>
        <v>0</v>
      </c>
      <c r="L31" s="222"/>
      <c r="M31" s="229"/>
      <c r="N31" s="229">
        <f t="shared" si="13"/>
        <v>0</v>
      </c>
      <c r="O31" s="230"/>
      <c r="P31" s="230"/>
      <c r="Q31" s="231"/>
      <c r="R31" s="192"/>
      <c r="S31" s="193"/>
      <c r="T31" s="194"/>
      <c r="U31" s="195"/>
      <c r="V31" s="196"/>
      <c r="W31" s="219"/>
      <c r="X31" s="220"/>
      <c r="Y31" s="199">
        <f t="shared" si="17"/>
        <v>0</v>
      </c>
      <c r="Z31" s="200">
        <f t="shared" si="2"/>
        <v>0</v>
      </c>
      <c r="AA31" s="193"/>
      <c r="AB31" s="194"/>
      <c r="AC31" s="195"/>
      <c r="AD31" s="201"/>
      <c r="AE31" s="221"/>
      <c r="AF31" s="220"/>
      <c r="AG31" s="199">
        <f t="shared" si="18"/>
        <v>0</v>
      </c>
      <c r="AH31" s="200">
        <f t="shared" si="19"/>
        <v>0</v>
      </c>
      <c r="AI31" s="203">
        <f t="shared" si="4"/>
        <v>0</v>
      </c>
      <c r="AJ31" s="204">
        <f t="shared" si="4"/>
        <v>0</v>
      </c>
      <c r="AK31" s="193"/>
      <c r="AL31" s="194"/>
      <c r="AM31" s="195"/>
      <c r="AN31" s="196"/>
      <c r="AO31" s="219"/>
      <c r="AP31" s="220"/>
      <c r="AQ31" s="205">
        <f t="shared" si="20"/>
        <v>0</v>
      </c>
      <c r="AR31" s="206">
        <f t="shared" si="21"/>
        <v>0</v>
      </c>
      <c r="AS31" s="193"/>
      <c r="AT31" s="194"/>
      <c r="AU31" s="195"/>
      <c r="AV31" s="196"/>
      <c r="AW31" s="219"/>
      <c r="AX31" s="220"/>
      <c r="AY31" s="205">
        <f t="shared" si="22"/>
        <v>0</v>
      </c>
      <c r="AZ31" s="206">
        <f t="shared" si="23"/>
        <v>0</v>
      </c>
      <c r="BA31" s="207">
        <f t="shared" si="7"/>
        <v>0</v>
      </c>
      <c r="BB31" s="204">
        <f t="shared" si="7"/>
        <v>0</v>
      </c>
      <c r="BC31" s="208">
        <f t="shared" si="8"/>
        <v>0</v>
      </c>
      <c r="BD31" s="209">
        <f t="shared" si="8"/>
        <v>0</v>
      </c>
      <c r="BE31" s="210">
        <f t="shared" si="9"/>
        <v>0</v>
      </c>
      <c r="BF31" s="211">
        <f t="shared" si="9"/>
        <v>0</v>
      </c>
      <c r="BG31" s="212">
        <f t="shared" si="10"/>
        <v>0</v>
      </c>
      <c r="BH31" s="213">
        <f t="shared" si="10"/>
        <v>0</v>
      </c>
      <c r="BI31" s="153"/>
    </row>
    <row r="32" spans="1:61" ht="21" hidden="1" customHeight="1" thickBot="1" x14ac:dyDescent="0.35">
      <c r="A32" s="214" t="s">
        <v>40</v>
      </c>
      <c r="B32" s="228"/>
      <c r="C32" s="180"/>
      <c r="D32" s="215"/>
      <c r="E32" s="182"/>
      <c r="F32" s="183"/>
      <c r="G32" s="216"/>
      <c r="H32" s="217"/>
      <c r="I32" s="217"/>
      <c r="J32" s="218"/>
      <c r="K32" s="223">
        <f t="shared" si="11"/>
        <v>0</v>
      </c>
      <c r="L32" s="222"/>
      <c r="M32" s="229"/>
      <c r="N32" s="229">
        <f t="shared" si="13"/>
        <v>0</v>
      </c>
      <c r="O32" s="230"/>
      <c r="P32" s="230"/>
      <c r="Q32" s="231"/>
      <c r="R32" s="192"/>
      <c r="S32" s="193"/>
      <c r="T32" s="194"/>
      <c r="U32" s="195"/>
      <c r="V32" s="196"/>
      <c r="W32" s="219"/>
      <c r="X32" s="220"/>
      <c r="Y32" s="199">
        <f t="shared" si="17"/>
        <v>0</v>
      </c>
      <c r="Z32" s="200">
        <f t="shared" si="2"/>
        <v>0</v>
      </c>
      <c r="AA32" s="193"/>
      <c r="AB32" s="194"/>
      <c r="AC32" s="195"/>
      <c r="AD32" s="201"/>
      <c r="AE32" s="221"/>
      <c r="AF32" s="220"/>
      <c r="AG32" s="199">
        <f t="shared" si="18"/>
        <v>0</v>
      </c>
      <c r="AH32" s="200">
        <f t="shared" si="19"/>
        <v>0</v>
      </c>
      <c r="AI32" s="203">
        <f t="shared" si="4"/>
        <v>0</v>
      </c>
      <c r="AJ32" s="204">
        <f t="shared" si="4"/>
        <v>0</v>
      </c>
      <c r="AK32" s="193"/>
      <c r="AL32" s="194"/>
      <c r="AM32" s="195"/>
      <c r="AN32" s="196"/>
      <c r="AO32" s="219"/>
      <c r="AP32" s="220"/>
      <c r="AQ32" s="205">
        <f t="shared" si="20"/>
        <v>0</v>
      </c>
      <c r="AR32" s="206">
        <f t="shared" si="21"/>
        <v>0</v>
      </c>
      <c r="AS32" s="193"/>
      <c r="AT32" s="194"/>
      <c r="AU32" s="195"/>
      <c r="AV32" s="196"/>
      <c r="AW32" s="219"/>
      <c r="AX32" s="220"/>
      <c r="AY32" s="205">
        <f t="shared" si="22"/>
        <v>0</v>
      </c>
      <c r="AZ32" s="206">
        <f t="shared" si="23"/>
        <v>0</v>
      </c>
      <c r="BA32" s="207">
        <f t="shared" si="7"/>
        <v>0</v>
      </c>
      <c r="BB32" s="204">
        <f t="shared" si="7"/>
        <v>0</v>
      </c>
      <c r="BC32" s="208">
        <f t="shared" si="8"/>
        <v>0</v>
      </c>
      <c r="BD32" s="209">
        <f t="shared" si="8"/>
        <v>0</v>
      </c>
      <c r="BE32" s="210">
        <f t="shared" si="9"/>
        <v>0</v>
      </c>
      <c r="BF32" s="211">
        <f t="shared" si="9"/>
        <v>0</v>
      </c>
      <c r="BG32" s="212">
        <f t="shared" si="10"/>
        <v>0</v>
      </c>
      <c r="BH32" s="213">
        <f t="shared" si="10"/>
        <v>0</v>
      </c>
      <c r="BI32" s="153"/>
    </row>
    <row r="33" spans="1:61" ht="21" hidden="1" customHeight="1" thickBot="1" x14ac:dyDescent="0.35">
      <c r="A33" s="214" t="s">
        <v>40</v>
      </c>
      <c r="B33" s="228"/>
      <c r="C33" s="180"/>
      <c r="D33" s="215"/>
      <c r="E33" s="182"/>
      <c r="F33" s="183"/>
      <c r="G33" s="216"/>
      <c r="H33" s="217"/>
      <c r="I33" s="217"/>
      <c r="J33" s="218"/>
      <c r="K33" s="223">
        <f t="shared" si="11"/>
        <v>0</v>
      </c>
      <c r="L33" s="222"/>
      <c r="M33" s="229"/>
      <c r="N33" s="229">
        <f t="shared" si="13"/>
        <v>0</v>
      </c>
      <c r="O33" s="230"/>
      <c r="P33" s="230"/>
      <c r="Q33" s="231"/>
      <c r="R33" s="192"/>
      <c r="S33" s="193"/>
      <c r="T33" s="194"/>
      <c r="U33" s="195"/>
      <c r="V33" s="196"/>
      <c r="W33" s="232"/>
      <c r="X33" s="233"/>
      <c r="Y33" s="199">
        <f t="shared" si="17"/>
        <v>0</v>
      </c>
      <c r="Z33" s="200">
        <f t="shared" si="2"/>
        <v>0</v>
      </c>
      <c r="AA33" s="193"/>
      <c r="AB33" s="194"/>
      <c r="AC33" s="195"/>
      <c r="AD33" s="201"/>
      <c r="AE33" s="234"/>
      <c r="AF33" s="233"/>
      <c r="AG33" s="199">
        <f t="shared" si="18"/>
        <v>0</v>
      </c>
      <c r="AH33" s="200">
        <f t="shared" si="19"/>
        <v>0</v>
      </c>
      <c r="AI33" s="203">
        <f t="shared" si="4"/>
        <v>0</v>
      </c>
      <c r="AJ33" s="204">
        <f t="shared" si="4"/>
        <v>0</v>
      </c>
      <c r="AK33" s="193"/>
      <c r="AL33" s="194"/>
      <c r="AM33" s="195"/>
      <c r="AN33" s="196"/>
      <c r="AO33" s="232"/>
      <c r="AP33" s="233"/>
      <c r="AQ33" s="205">
        <f t="shared" si="20"/>
        <v>0</v>
      </c>
      <c r="AR33" s="206">
        <f t="shared" si="21"/>
        <v>0</v>
      </c>
      <c r="AS33" s="193"/>
      <c r="AT33" s="194"/>
      <c r="AU33" s="195"/>
      <c r="AV33" s="196"/>
      <c r="AW33" s="232"/>
      <c r="AX33" s="233"/>
      <c r="AY33" s="205">
        <f t="shared" si="22"/>
        <v>0</v>
      </c>
      <c r="AZ33" s="206">
        <f t="shared" si="23"/>
        <v>0</v>
      </c>
      <c r="BA33" s="207">
        <f t="shared" si="7"/>
        <v>0</v>
      </c>
      <c r="BB33" s="204">
        <f t="shared" si="7"/>
        <v>0</v>
      </c>
      <c r="BC33" s="208">
        <f t="shared" si="8"/>
        <v>0</v>
      </c>
      <c r="BD33" s="209">
        <f t="shared" si="8"/>
        <v>0</v>
      </c>
      <c r="BE33" s="210">
        <f t="shared" si="9"/>
        <v>0</v>
      </c>
      <c r="BF33" s="211">
        <f t="shared" si="9"/>
        <v>0</v>
      </c>
      <c r="BG33" s="212">
        <f t="shared" si="10"/>
        <v>0</v>
      </c>
      <c r="BH33" s="213">
        <f t="shared" si="10"/>
        <v>0</v>
      </c>
      <c r="BI33" s="153"/>
    </row>
    <row r="34" spans="1:61" ht="21" hidden="1" customHeight="1" thickBot="1" x14ac:dyDescent="0.35">
      <c r="A34" s="214" t="s">
        <v>40</v>
      </c>
      <c r="B34" s="228"/>
      <c r="C34" s="180"/>
      <c r="D34" s="215"/>
      <c r="E34" s="182"/>
      <c r="F34" s="183"/>
      <c r="G34" s="216"/>
      <c r="H34" s="217"/>
      <c r="I34" s="217"/>
      <c r="J34" s="218"/>
      <c r="K34" s="223">
        <f t="shared" si="11"/>
        <v>0</v>
      </c>
      <c r="L34" s="222"/>
      <c r="M34" s="229"/>
      <c r="N34" s="229">
        <f t="shared" si="13"/>
        <v>0</v>
      </c>
      <c r="O34" s="230"/>
      <c r="P34" s="230"/>
      <c r="Q34" s="231"/>
      <c r="R34" s="192"/>
      <c r="S34" s="193"/>
      <c r="T34" s="194"/>
      <c r="U34" s="195"/>
      <c r="V34" s="196"/>
      <c r="W34" s="232"/>
      <c r="X34" s="233"/>
      <c r="Y34" s="199">
        <f t="shared" si="17"/>
        <v>0</v>
      </c>
      <c r="Z34" s="200">
        <f t="shared" si="2"/>
        <v>0</v>
      </c>
      <c r="AA34" s="193"/>
      <c r="AB34" s="194"/>
      <c r="AC34" s="195"/>
      <c r="AD34" s="201"/>
      <c r="AE34" s="234"/>
      <c r="AF34" s="233"/>
      <c r="AG34" s="199">
        <f t="shared" si="18"/>
        <v>0</v>
      </c>
      <c r="AH34" s="200">
        <f t="shared" si="19"/>
        <v>0</v>
      </c>
      <c r="AI34" s="203">
        <f t="shared" si="4"/>
        <v>0</v>
      </c>
      <c r="AJ34" s="204">
        <f t="shared" si="4"/>
        <v>0</v>
      </c>
      <c r="AK34" s="193"/>
      <c r="AL34" s="194"/>
      <c r="AM34" s="195"/>
      <c r="AN34" s="196"/>
      <c r="AO34" s="232"/>
      <c r="AP34" s="233"/>
      <c r="AQ34" s="205">
        <f t="shared" si="20"/>
        <v>0</v>
      </c>
      <c r="AR34" s="206">
        <f t="shared" si="21"/>
        <v>0</v>
      </c>
      <c r="AS34" s="193"/>
      <c r="AT34" s="194"/>
      <c r="AU34" s="195"/>
      <c r="AV34" s="196"/>
      <c r="AW34" s="232"/>
      <c r="AX34" s="233"/>
      <c r="AY34" s="205">
        <f t="shared" si="22"/>
        <v>0</v>
      </c>
      <c r="AZ34" s="206">
        <f t="shared" si="23"/>
        <v>0</v>
      </c>
      <c r="BA34" s="207">
        <f t="shared" si="7"/>
        <v>0</v>
      </c>
      <c r="BB34" s="204">
        <f t="shared" si="7"/>
        <v>0</v>
      </c>
      <c r="BC34" s="208">
        <f t="shared" si="8"/>
        <v>0</v>
      </c>
      <c r="BD34" s="209">
        <f t="shared" si="8"/>
        <v>0</v>
      </c>
      <c r="BE34" s="210">
        <f t="shared" si="9"/>
        <v>0</v>
      </c>
      <c r="BF34" s="211">
        <f t="shared" si="9"/>
        <v>0</v>
      </c>
      <c r="BG34" s="212">
        <f t="shared" si="10"/>
        <v>0</v>
      </c>
      <c r="BH34" s="213">
        <f t="shared" si="10"/>
        <v>0</v>
      </c>
      <c r="BI34" s="153"/>
    </row>
    <row r="35" spans="1:61" ht="21" hidden="1" customHeight="1" thickBot="1" x14ac:dyDescent="0.35">
      <c r="A35" s="214" t="s">
        <v>40</v>
      </c>
      <c r="B35" s="228"/>
      <c r="C35" s="180"/>
      <c r="D35" s="215"/>
      <c r="E35" s="182"/>
      <c r="F35" s="183"/>
      <c r="G35" s="216"/>
      <c r="H35" s="217"/>
      <c r="I35" s="217"/>
      <c r="J35" s="218"/>
      <c r="K35" s="223">
        <f t="shared" si="11"/>
        <v>0</v>
      </c>
      <c r="L35" s="222"/>
      <c r="M35" s="229"/>
      <c r="N35" s="229">
        <f t="shared" si="13"/>
        <v>0</v>
      </c>
      <c r="O35" s="230"/>
      <c r="P35" s="230"/>
      <c r="Q35" s="231"/>
      <c r="R35" s="192"/>
      <c r="S35" s="193"/>
      <c r="T35" s="194"/>
      <c r="U35" s="195"/>
      <c r="V35" s="196"/>
      <c r="W35" s="232"/>
      <c r="X35" s="233"/>
      <c r="Y35" s="199">
        <f t="shared" si="17"/>
        <v>0</v>
      </c>
      <c r="Z35" s="200">
        <f t="shared" si="2"/>
        <v>0</v>
      </c>
      <c r="AA35" s="193"/>
      <c r="AB35" s="194"/>
      <c r="AC35" s="195"/>
      <c r="AD35" s="201"/>
      <c r="AE35" s="234"/>
      <c r="AF35" s="233"/>
      <c r="AG35" s="199">
        <f t="shared" si="18"/>
        <v>0</v>
      </c>
      <c r="AH35" s="200">
        <f t="shared" si="19"/>
        <v>0</v>
      </c>
      <c r="AI35" s="203">
        <f t="shared" si="4"/>
        <v>0</v>
      </c>
      <c r="AJ35" s="204">
        <f t="shared" si="4"/>
        <v>0</v>
      </c>
      <c r="AK35" s="193"/>
      <c r="AL35" s="194"/>
      <c r="AM35" s="195"/>
      <c r="AN35" s="196"/>
      <c r="AO35" s="232"/>
      <c r="AP35" s="233"/>
      <c r="AQ35" s="205">
        <f t="shared" si="20"/>
        <v>0</v>
      </c>
      <c r="AR35" s="206">
        <f t="shared" si="21"/>
        <v>0</v>
      </c>
      <c r="AS35" s="193"/>
      <c r="AT35" s="194"/>
      <c r="AU35" s="195"/>
      <c r="AV35" s="196"/>
      <c r="AW35" s="232"/>
      <c r="AX35" s="233"/>
      <c r="AY35" s="205">
        <f t="shared" si="22"/>
        <v>0</v>
      </c>
      <c r="AZ35" s="206">
        <f t="shared" si="23"/>
        <v>0</v>
      </c>
      <c r="BA35" s="207">
        <f t="shared" si="7"/>
        <v>0</v>
      </c>
      <c r="BB35" s="204">
        <f t="shared" si="7"/>
        <v>0</v>
      </c>
      <c r="BC35" s="208">
        <f t="shared" si="8"/>
        <v>0</v>
      </c>
      <c r="BD35" s="209">
        <f t="shared" si="8"/>
        <v>0</v>
      </c>
      <c r="BE35" s="210">
        <f t="shared" si="9"/>
        <v>0</v>
      </c>
      <c r="BF35" s="211">
        <f t="shared" si="9"/>
        <v>0</v>
      </c>
      <c r="BG35" s="212">
        <f t="shared" si="10"/>
        <v>0</v>
      </c>
      <c r="BH35" s="213">
        <f t="shared" si="10"/>
        <v>0</v>
      </c>
      <c r="BI35" s="153"/>
    </row>
    <row r="36" spans="1:61" ht="21" hidden="1" customHeight="1" thickBot="1" x14ac:dyDescent="0.35">
      <c r="A36" s="214" t="s">
        <v>40</v>
      </c>
      <c r="B36" s="228"/>
      <c r="C36" s="180"/>
      <c r="D36" s="215"/>
      <c r="E36" s="182"/>
      <c r="F36" s="183"/>
      <c r="G36" s="216"/>
      <c r="H36" s="217"/>
      <c r="I36" s="217"/>
      <c r="J36" s="218"/>
      <c r="K36" s="223">
        <f t="shared" si="11"/>
        <v>0</v>
      </c>
      <c r="L36" s="222"/>
      <c r="M36" s="229"/>
      <c r="N36" s="229">
        <f t="shared" si="13"/>
        <v>0</v>
      </c>
      <c r="O36" s="230"/>
      <c r="P36" s="230"/>
      <c r="Q36" s="231"/>
      <c r="R36" s="192"/>
      <c r="S36" s="193"/>
      <c r="T36" s="194"/>
      <c r="U36" s="195"/>
      <c r="V36" s="196"/>
      <c r="W36" s="232"/>
      <c r="X36" s="233"/>
      <c r="Y36" s="199">
        <f t="shared" si="17"/>
        <v>0</v>
      </c>
      <c r="Z36" s="200">
        <f t="shared" si="2"/>
        <v>0</v>
      </c>
      <c r="AA36" s="193"/>
      <c r="AB36" s="194"/>
      <c r="AC36" s="195"/>
      <c r="AD36" s="201"/>
      <c r="AE36" s="234"/>
      <c r="AF36" s="233"/>
      <c r="AG36" s="199">
        <f t="shared" si="18"/>
        <v>0</v>
      </c>
      <c r="AH36" s="200">
        <f t="shared" si="19"/>
        <v>0</v>
      </c>
      <c r="AI36" s="203">
        <f t="shared" si="4"/>
        <v>0</v>
      </c>
      <c r="AJ36" s="204">
        <f t="shared" si="4"/>
        <v>0</v>
      </c>
      <c r="AK36" s="193"/>
      <c r="AL36" s="194"/>
      <c r="AM36" s="195"/>
      <c r="AN36" s="196"/>
      <c r="AO36" s="232"/>
      <c r="AP36" s="233"/>
      <c r="AQ36" s="205">
        <f t="shared" si="20"/>
        <v>0</v>
      </c>
      <c r="AR36" s="206">
        <f t="shared" si="21"/>
        <v>0</v>
      </c>
      <c r="AS36" s="193"/>
      <c r="AT36" s="194"/>
      <c r="AU36" s="195"/>
      <c r="AV36" s="196"/>
      <c r="AW36" s="232"/>
      <c r="AX36" s="233"/>
      <c r="AY36" s="205">
        <f t="shared" si="22"/>
        <v>0</v>
      </c>
      <c r="AZ36" s="206">
        <f t="shared" si="23"/>
        <v>0</v>
      </c>
      <c r="BA36" s="207">
        <f t="shared" si="7"/>
        <v>0</v>
      </c>
      <c r="BB36" s="204">
        <f t="shared" si="7"/>
        <v>0</v>
      </c>
      <c r="BC36" s="208">
        <f t="shared" si="8"/>
        <v>0</v>
      </c>
      <c r="BD36" s="209">
        <f t="shared" si="8"/>
        <v>0</v>
      </c>
      <c r="BE36" s="210">
        <f t="shared" si="9"/>
        <v>0</v>
      </c>
      <c r="BF36" s="211">
        <f t="shared" si="9"/>
        <v>0</v>
      </c>
      <c r="BG36" s="212">
        <f t="shared" si="10"/>
        <v>0</v>
      </c>
      <c r="BH36" s="213">
        <f t="shared" si="10"/>
        <v>0</v>
      </c>
      <c r="BI36" s="153"/>
    </row>
    <row r="37" spans="1:61" ht="21" hidden="1" customHeight="1" thickBot="1" x14ac:dyDescent="0.35">
      <c r="A37" s="235" t="s">
        <v>40</v>
      </c>
      <c r="B37" s="228"/>
      <c r="C37" s="180"/>
      <c r="D37" s="215"/>
      <c r="E37" s="182"/>
      <c r="F37" s="183"/>
      <c r="G37" s="236"/>
      <c r="H37" s="237"/>
      <c r="I37" s="237"/>
      <c r="J37" s="238"/>
      <c r="K37" s="223">
        <f>I37-H37</f>
        <v>0</v>
      </c>
      <c r="L37" s="222"/>
      <c r="M37" s="229"/>
      <c r="N37" s="229">
        <f>J37-G37</f>
        <v>0</v>
      </c>
      <c r="O37" s="230"/>
      <c r="P37" s="230"/>
      <c r="Q37" s="231"/>
      <c r="R37" s="192"/>
      <c r="S37" s="239"/>
      <c r="T37" s="240"/>
      <c r="U37" s="241"/>
      <c r="V37" s="242"/>
      <c r="W37" s="243"/>
      <c r="X37" s="244"/>
      <c r="Y37" s="245">
        <f t="shared" si="17"/>
        <v>0</v>
      </c>
      <c r="Z37" s="200">
        <f t="shared" si="2"/>
        <v>0</v>
      </c>
      <c r="AA37" s="239"/>
      <c r="AB37" s="240"/>
      <c r="AC37" s="241"/>
      <c r="AD37" s="246"/>
      <c r="AE37" s="247"/>
      <c r="AF37" s="244"/>
      <c r="AG37" s="245">
        <f t="shared" si="18"/>
        <v>0</v>
      </c>
      <c r="AH37" s="200">
        <f t="shared" si="19"/>
        <v>0</v>
      </c>
      <c r="AI37" s="248">
        <f t="shared" si="4"/>
        <v>0</v>
      </c>
      <c r="AJ37" s="249">
        <f t="shared" si="4"/>
        <v>0</v>
      </c>
      <c r="AK37" s="193"/>
      <c r="AL37" s="194"/>
      <c r="AM37" s="195"/>
      <c r="AN37" s="196"/>
      <c r="AO37" s="243"/>
      <c r="AP37" s="244"/>
      <c r="AQ37" s="205">
        <f t="shared" si="20"/>
        <v>0</v>
      </c>
      <c r="AR37" s="206">
        <f t="shared" si="21"/>
        <v>0</v>
      </c>
      <c r="AS37" s="193"/>
      <c r="AT37" s="194"/>
      <c r="AU37" s="195"/>
      <c r="AV37" s="196"/>
      <c r="AW37" s="243"/>
      <c r="AX37" s="244"/>
      <c r="AY37" s="205">
        <f t="shared" si="22"/>
        <v>0</v>
      </c>
      <c r="AZ37" s="206">
        <f t="shared" si="23"/>
        <v>0</v>
      </c>
      <c r="BA37" s="207">
        <f t="shared" si="7"/>
        <v>0</v>
      </c>
      <c r="BB37" s="204">
        <f t="shared" si="7"/>
        <v>0</v>
      </c>
      <c r="BC37" s="208">
        <f t="shared" si="8"/>
        <v>0</v>
      </c>
      <c r="BD37" s="209">
        <f t="shared" si="8"/>
        <v>0</v>
      </c>
      <c r="BE37" s="210">
        <f t="shared" si="9"/>
        <v>0</v>
      </c>
      <c r="BF37" s="211">
        <f t="shared" si="9"/>
        <v>0</v>
      </c>
      <c r="BG37" s="212">
        <f t="shared" si="10"/>
        <v>0</v>
      </c>
      <c r="BH37" s="213">
        <f t="shared" si="10"/>
        <v>0</v>
      </c>
      <c r="BI37" s="153"/>
    </row>
    <row r="38" spans="1:61" s="153" customFormat="1" ht="33" customHeight="1" thickBot="1" x14ac:dyDescent="0.35">
      <c r="A38" s="154" t="s">
        <v>172</v>
      </c>
      <c r="B38" s="250" t="s">
        <v>172</v>
      </c>
      <c r="C38" s="251" t="s">
        <v>2</v>
      </c>
      <c r="D38" s="252" t="s">
        <v>41</v>
      </c>
      <c r="E38" s="253" t="s">
        <v>173</v>
      </c>
      <c r="F38" s="159" t="s">
        <v>5</v>
      </c>
      <c r="G38" s="160" t="s">
        <v>6</v>
      </c>
      <c r="H38" s="161" t="s">
        <v>7</v>
      </c>
      <c r="I38" s="161" t="s">
        <v>8</v>
      </c>
      <c r="J38" s="162" t="s">
        <v>9</v>
      </c>
      <c r="K38" s="163" t="s">
        <v>38</v>
      </c>
      <c r="L38" s="164" t="s">
        <v>38</v>
      </c>
      <c r="M38" s="165" t="s">
        <v>38</v>
      </c>
      <c r="N38" s="166" t="s">
        <v>38</v>
      </c>
      <c r="O38" s="165" t="s">
        <v>39</v>
      </c>
      <c r="P38" s="165" t="s">
        <v>39</v>
      </c>
      <c r="Q38" s="254" t="s">
        <v>39</v>
      </c>
      <c r="R38" s="168" t="s">
        <v>17</v>
      </c>
      <c r="S38" s="169">
        <f t="shared" ref="S38:X38" si="24">SUM(S39:S67)</f>
        <v>1697</v>
      </c>
      <c r="T38" s="170">
        <f t="shared" si="24"/>
        <v>406</v>
      </c>
      <c r="U38" s="171">
        <f t="shared" si="24"/>
        <v>1755</v>
      </c>
      <c r="V38" s="172">
        <f t="shared" si="24"/>
        <v>186</v>
      </c>
      <c r="W38" s="173">
        <f t="shared" si="24"/>
        <v>0</v>
      </c>
      <c r="X38" s="174">
        <f t="shared" si="24"/>
        <v>25</v>
      </c>
      <c r="Y38" s="169">
        <f t="shared" ref="Y38:Y49" si="25">SUM(S38:X38)</f>
        <v>4069</v>
      </c>
      <c r="Z38" s="175">
        <f t="shared" si="2"/>
        <v>6035</v>
      </c>
      <c r="AA38" s="169">
        <f t="shared" ref="AA38:AF38" si="26">SUM(AA39:AA67)</f>
        <v>2196</v>
      </c>
      <c r="AB38" s="170">
        <f t="shared" si="26"/>
        <v>93</v>
      </c>
      <c r="AC38" s="171">
        <f t="shared" si="26"/>
        <v>1642</v>
      </c>
      <c r="AD38" s="172">
        <f t="shared" si="26"/>
        <v>474</v>
      </c>
      <c r="AE38" s="173">
        <f t="shared" si="26"/>
        <v>0</v>
      </c>
      <c r="AF38" s="174">
        <f t="shared" si="26"/>
        <v>112</v>
      </c>
      <c r="AG38" s="169">
        <f t="shared" si="18"/>
        <v>4517</v>
      </c>
      <c r="AH38" s="175">
        <f t="shared" si="19"/>
        <v>6745</v>
      </c>
      <c r="AI38" s="169">
        <f t="shared" si="4"/>
        <v>8586</v>
      </c>
      <c r="AJ38" s="175">
        <f t="shared" si="4"/>
        <v>12780</v>
      </c>
      <c r="AK38" s="169">
        <f t="shared" ref="AK38:AP38" si="27">SUM(AK39:AK67)</f>
        <v>0</v>
      </c>
      <c r="AL38" s="170">
        <f t="shared" si="27"/>
        <v>0</v>
      </c>
      <c r="AM38" s="171">
        <f t="shared" si="27"/>
        <v>21</v>
      </c>
      <c r="AN38" s="172">
        <f t="shared" si="27"/>
        <v>0</v>
      </c>
      <c r="AO38" s="173">
        <f t="shared" si="27"/>
        <v>0</v>
      </c>
      <c r="AP38" s="174">
        <f t="shared" si="27"/>
        <v>1</v>
      </c>
      <c r="AQ38" s="169">
        <f t="shared" ref="AQ38:AQ49" si="28">SUM(AK38:AP38)</f>
        <v>22</v>
      </c>
      <c r="AR38" s="175">
        <f t="shared" si="21"/>
        <v>44</v>
      </c>
      <c r="AS38" s="169">
        <f t="shared" ref="AS38:AX38" si="29">SUM(AS39:AS67)</f>
        <v>0</v>
      </c>
      <c r="AT38" s="170">
        <f t="shared" si="29"/>
        <v>0</v>
      </c>
      <c r="AU38" s="171">
        <f t="shared" si="29"/>
        <v>21</v>
      </c>
      <c r="AV38" s="172">
        <f t="shared" si="29"/>
        <v>0</v>
      </c>
      <c r="AW38" s="173">
        <f t="shared" si="29"/>
        <v>0</v>
      </c>
      <c r="AX38" s="174">
        <f t="shared" si="29"/>
        <v>1</v>
      </c>
      <c r="AY38" s="169">
        <f t="shared" ref="AY38:AY67" si="30">SUM(AS38:AX38)</f>
        <v>22</v>
      </c>
      <c r="AZ38" s="175">
        <f t="shared" si="23"/>
        <v>44</v>
      </c>
      <c r="BA38" s="169">
        <f t="shared" si="7"/>
        <v>44</v>
      </c>
      <c r="BB38" s="170">
        <f t="shared" si="7"/>
        <v>88</v>
      </c>
      <c r="BC38" s="169">
        <f t="shared" si="8"/>
        <v>4091</v>
      </c>
      <c r="BD38" s="170">
        <f t="shared" si="8"/>
        <v>6079</v>
      </c>
      <c r="BE38" s="169">
        <f t="shared" si="9"/>
        <v>4539</v>
      </c>
      <c r="BF38" s="176">
        <f t="shared" si="9"/>
        <v>6789</v>
      </c>
      <c r="BG38" s="169">
        <f t="shared" si="10"/>
        <v>8630</v>
      </c>
      <c r="BH38" s="170">
        <f t="shared" si="10"/>
        <v>12868</v>
      </c>
    </row>
    <row r="39" spans="1:61" ht="21.6" thickBot="1" x14ac:dyDescent="0.35">
      <c r="A39" s="178" t="s">
        <v>172</v>
      </c>
      <c r="B39" s="179">
        <v>1</v>
      </c>
      <c r="C39" s="180">
        <v>1</v>
      </c>
      <c r="D39" s="181" t="s">
        <v>43</v>
      </c>
      <c r="E39" s="182" t="s">
        <v>174</v>
      </c>
      <c r="F39" s="183" t="s">
        <v>175</v>
      </c>
      <c r="G39" s="216" t="s">
        <v>176</v>
      </c>
      <c r="H39" s="217" t="s">
        <v>177</v>
      </c>
      <c r="I39" s="217">
        <v>45694.847916666666</v>
      </c>
      <c r="J39" s="218" t="s">
        <v>178</v>
      </c>
      <c r="K39" s="187">
        <f t="shared" ref="K39:K55" si="31">I39-H39</f>
        <v>6.2437500000014552</v>
      </c>
      <c r="L39" s="188">
        <v>0.70486111111111116</v>
      </c>
      <c r="M39" s="189">
        <f t="shared" ref="M39:M56" si="32">K39-L39</f>
        <v>5.5388888888903445</v>
      </c>
      <c r="N39" s="189">
        <f t="shared" ref="N39:N67" si="33">J39-G39</f>
        <v>6.3576388888905058</v>
      </c>
      <c r="O39" s="190">
        <f t="shared" ref="O39:O56" si="34">BG39/M39/24</f>
        <v>5.1003009027067838</v>
      </c>
      <c r="P39" s="190">
        <f t="shared" ref="P39:P56" si="35">BG39/K39/24</f>
        <v>4.5245245245234704</v>
      </c>
      <c r="Q39" s="191">
        <f t="shared" ref="Q39:Q56" si="36">BG39/N39/24</f>
        <v>4.4434735117410868</v>
      </c>
      <c r="R39" s="192" t="s">
        <v>50</v>
      </c>
      <c r="S39" s="193">
        <v>103</v>
      </c>
      <c r="T39" s="194">
        <v>115</v>
      </c>
      <c r="U39" s="195">
        <v>146</v>
      </c>
      <c r="V39" s="196">
        <v>25</v>
      </c>
      <c r="W39" s="219">
        <v>0</v>
      </c>
      <c r="X39" s="220">
        <v>0</v>
      </c>
      <c r="Y39" s="199">
        <f t="shared" si="25"/>
        <v>389</v>
      </c>
      <c r="Z39" s="200">
        <f t="shared" si="2"/>
        <v>560</v>
      </c>
      <c r="AA39" s="193">
        <v>152</v>
      </c>
      <c r="AB39" s="194">
        <v>0</v>
      </c>
      <c r="AC39" s="195">
        <v>117</v>
      </c>
      <c r="AD39" s="201">
        <v>20</v>
      </c>
      <c r="AE39" s="221">
        <v>0</v>
      </c>
      <c r="AF39" s="220">
        <v>0</v>
      </c>
      <c r="AG39" s="199">
        <f t="shared" si="18"/>
        <v>289</v>
      </c>
      <c r="AH39" s="200">
        <f t="shared" si="19"/>
        <v>426</v>
      </c>
      <c r="AI39" s="203">
        <f t="shared" ref="AI39:AJ54" si="37">Y39+AG39</f>
        <v>678</v>
      </c>
      <c r="AJ39" s="204">
        <f t="shared" si="37"/>
        <v>986</v>
      </c>
      <c r="AK39" s="193"/>
      <c r="AL39" s="194"/>
      <c r="AM39" s="195"/>
      <c r="AN39" s="196"/>
      <c r="AO39" s="219"/>
      <c r="AP39" s="220"/>
      <c r="AQ39" s="205">
        <f t="shared" si="28"/>
        <v>0</v>
      </c>
      <c r="AR39" s="206">
        <f t="shared" si="21"/>
        <v>0</v>
      </c>
      <c r="AS39" s="193"/>
      <c r="AT39" s="194"/>
      <c r="AU39" s="195"/>
      <c r="AV39" s="196"/>
      <c r="AW39" s="219"/>
      <c r="AX39" s="220"/>
      <c r="AY39" s="205">
        <f t="shared" si="30"/>
        <v>0</v>
      </c>
      <c r="AZ39" s="206">
        <f t="shared" si="23"/>
        <v>0</v>
      </c>
      <c r="BA39" s="207">
        <f t="shared" ref="BA39:BB54" si="38">AQ39+AY39</f>
        <v>0</v>
      </c>
      <c r="BB39" s="204">
        <f t="shared" si="38"/>
        <v>0</v>
      </c>
      <c r="BC39" s="208">
        <f t="shared" ref="BC39:BD54" si="39">Y39+AQ39</f>
        <v>389</v>
      </c>
      <c r="BD39" s="209">
        <f t="shared" si="39"/>
        <v>560</v>
      </c>
      <c r="BE39" s="210">
        <f t="shared" ref="BE39:BF54" si="40">AG39+AY39</f>
        <v>289</v>
      </c>
      <c r="BF39" s="211">
        <f t="shared" si="40"/>
        <v>426</v>
      </c>
      <c r="BG39" s="212">
        <f t="shared" ref="BG39:BH54" si="41">BC39+BE39</f>
        <v>678</v>
      </c>
      <c r="BH39" s="213">
        <f t="shared" si="41"/>
        <v>986</v>
      </c>
      <c r="BI39" s="153"/>
    </row>
    <row r="40" spans="1:61" ht="21.6" thickBot="1" x14ac:dyDescent="0.35">
      <c r="A40" s="214" t="s">
        <v>172</v>
      </c>
      <c r="B40" s="179">
        <v>1</v>
      </c>
      <c r="C40" s="180">
        <v>2</v>
      </c>
      <c r="D40" s="215" t="s">
        <v>79</v>
      </c>
      <c r="E40" s="182" t="s">
        <v>179</v>
      </c>
      <c r="F40" s="183" t="s">
        <v>157</v>
      </c>
      <c r="G40" s="216" t="s">
        <v>180</v>
      </c>
      <c r="H40" s="217" t="s">
        <v>181</v>
      </c>
      <c r="I40" s="217" t="s">
        <v>182</v>
      </c>
      <c r="J40" s="218" t="s">
        <v>182</v>
      </c>
      <c r="K40" s="187">
        <f t="shared" si="31"/>
        <v>3.8159722222262644</v>
      </c>
      <c r="L40" s="188">
        <v>3.1631944444452529</v>
      </c>
      <c r="M40" s="189">
        <f t="shared" si="32"/>
        <v>0.65277777778101154</v>
      </c>
      <c r="N40" s="189">
        <f t="shared" si="33"/>
        <v>3.8298611111167702</v>
      </c>
      <c r="O40" s="190">
        <f t="shared" si="34"/>
        <v>30.319148936020017</v>
      </c>
      <c r="P40" s="190">
        <f t="shared" si="35"/>
        <v>5.1865332120054246</v>
      </c>
      <c r="Q40" s="191">
        <f t="shared" si="36"/>
        <v>5.1677243880250021</v>
      </c>
      <c r="R40" s="192" t="s">
        <v>71</v>
      </c>
      <c r="S40" s="193">
        <v>132</v>
      </c>
      <c r="T40" s="194">
        <v>1</v>
      </c>
      <c r="U40" s="195">
        <v>96</v>
      </c>
      <c r="V40" s="196">
        <v>7</v>
      </c>
      <c r="W40" s="219">
        <v>0</v>
      </c>
      <c r="X40" s="220">
        <v>1</v>
      </c>
      <c r="Y40" s="199">
        <f t="shared" si="25"/>
        <v>237</v>
      </c>
      <c r="Z40" s="200">
        <f t="shared" si="2"/>
        <v>341</v>
      </c>
      <c r="AA40" s="193">
        <v>83</v>
      </c>
      <c r="AB40" s="194">
        <v>26</v>
      </c>
      <c r="AC40" s="195">
        <v>64</v>
      </c>
      <c r="AD40" s="201">
        <v>60</v>
      </c>
      <c r="AE40" s="221">
        <v>0</v>
      </c>
      <c r="AF40" s="220">
        <v>5</v>
      </c>
      <c r="AG40" s="199">
        <f t="shared" si="18"/>
        <v>238</v>
      </c>
      <c r="AH40" s="200">
        <f t="shared" si="19"/>
        <v>367</v>
      </c>
      <c r="AI40" s="203">
        <f t="shared" si="37"/>
        <v>475</v>
      </c>
      <c r="AJ40" s="204">
        <f t="shared" si="37"/>
        <v>708</v>
      </c>
      <c r="AK40" s="193"/>
      <c r="AL40" s="194"/>
      <c r="AM40" s="195"/>
      <c r="AN40" s="196"/>
      <c r="AO40" s="219"/>
      <c r="AP40" s="220"/>
      <c r="AQ40" s="205">
        <f t="shared" si="28"/>
        <v>0</v>
      </c>
      <c r="AR40" s="206">
        <f t="shared" si="21"/>
        <v>0</v>
      </c>
      <c r="AS40" s="193"/>
      <c r="AT40" s="194"/>
      <c r="AU40" s="195"/>
      <c r="AV40" s="196"/>
      <c r="AW40" s="219"/>
      <c r="AX40" s="220"/>
      <c r="AY40" s="205">
        <f t="shared" si="30"/>
        <v>0</v>
      </c>
      <c r="AZ40" s="206">
        <f t="shared" si="23"/>
        <v>0</v>
      </c>
      <c r="BA40" s="207">
        <f t="shared" si="38"/>
        <v>0</v>
      </c>
      <c r="BB40" s="204">
        <f t="shared" si="38"/>
        <v>0</v>
      </c>
      <c r="BC40" s="208">
        <f t="shared" si="39"/>
        <v>237</v>
      </c>
      <c r="BD40" s="209">
        <f t="shared" si="39"/>
        <v>341</v>
      </c>
      <c r="BE40" s="210">
        <f t="shared" si="40"/>
        <v>238</v>
      </c>
      <c r="BF40" s="211">
        <f t="shared" si="40"/>
        <v>367</v>
      </c>
      <c r="BG40" s="212">
        <f t="shared" si="41"/>
        <v>475</v>
      </c>
      <c r="BH40" s="213">
        <f t="shared" si="41"/>
        <v>708</v>
      </c>
      <c r="BI40" s="153"/>
    </row>
    <row r="41" spans="1:61" ht="21.6" thickBot="1" x14ac:dyDescent="0.35">
      <c r="A41" s="214" t="s">
        <v>172</v>
      </c>
      <c r="B41" s="179">
        <v>1</v>
      </c>
      <c r="C41" s="180">
        <v>3</v>
      </c>
      <c r="D41" s="215" t="s">
        <v>51</v>
      </c>
      <c r="E41" s="182" t="s">
        <v>183</v>
      </c>
      <c r="F41" s="183" t="s">
        <v>184</v>
      </c>
      <c r="G41" s="216" t="s">
        <v>185</v>
      </c>
      <c r="H41" s="217" t="s">
        <v>186</v>
      </c>
      <c r="I41" s="217" t="s">
        <v>187</v>
      </c>
      <c r="J41" s="218" t="s">
        <v>188</v>
      </c>
      <c r="K41" s="187">
        <f t="shared" si="31"/>
        <v>0.15486111111385981</v>
      </c>
      <c r="L41" s="188"/>
      <c r="M41" s="189">
        <f t="shared" si="32"/>
        <v>0.15486111111385981</v>
      </c>
      <c r="N41" s="189">
        <f t="shared" si="33"/>
        <v>0.57291666666424135</v>
      </c>
      <c r="O41" s="190">
        <f t="shared" si="34"/>
        <v>40.896860985821185</v>
      </c>
      <c r="P41" s="190">
        <f t="shared" si="35"/>
        <v>40.896860985821185</v>
      </c>
      <c r="Q41" s="191">
        <f t="shared" si="36"/>
        <v>11.054545454592251</v>
      </c>
      <c r="R41" s="192" t="s">
        <v>57</v>
      </c>
      <c r="S41" s="193">
        <v>1</v>
      </c>
      <c r="T41" s="194">
        <v>0</v>
      </c>
      <c r="U41" s="195">
        <v>0</v>
      </c>
      <c r="V41" s="196">
        <v>0</v>
      </c>
      <c r="W41" s="219">
        <v>0</v>
      </c>
      <c r="X41" s="220">
        <v>0</v>
      </c>
      <c r="Y41" s="199">
        <f t="shared" si="25"/>
        <v>1</v>
      </c>
      <c r="Z41" s="200">
        <f t="shared" si="2"/>
        <v>1</v>
      </c>
      <c r="AA41" s="193">
        <v>86</v>
      </c>
      <c r="AB41" s="194">
        <v>1</v>
      </c>
      <c r="AC41" s="195">
        <v>43</v>
      </c>
      <c r="AD41" s="201">
        <v>2</v>
      </c>
      <c r="AE41" s="221">
        <v>0</v>
      </c>
      <c r="AF41" s="220">
        <v>19</v>
      </c>
      <c r="AG41" s="199">
        <f t="shared" si="18"/>
        <v>151</v>
      </c>
      <c r="AH41" s="200">
        <f t="shared" si="19"/>
        <v>215</v>
      </c>
      <c r="AI41" s="203">
        <f t="shared" si="37"/>
        <v>152</v>
      </c>
      <c r="AJ41" s="204">
        <f t="shared" si="37"/>
        <v>216</v>
      </c>
      <c r="AK41" s="193"/>
      <c r="AL41" s="194"/>
      <c r="AM41" s="195"/>
      <c r="AN41" s="196"/>
      <c r="AO41" s="219"/>
      <c r="AP41" s="220"/>
      <c r="AQ41" s="205">
        <f t="shared" si="28"/>
        <v>0</v>
      </c>
      <c r="AR41" s="206">
        <f t="shared" si="21"/>
        <v>0</v>
      </c>
      <c r="AS41" s="193"/>
      <c r="AT41" s="194"/>
      <c r="AU41" s="195"/>
      <c r="AV41" s="196"/>
      <c r="AW41" s="219"/>
      <c r="AX41" s="220"/>
      <c r="AY41" s="205">
        <f t="shared" si="30"/>
        <v>0</v>
      </c>
      <c r="AZ41" s="206">
        <f t="shared" si="23"/>
        <v>0</v>
      </c>
      <c r="BA41" s="207">
        <f t="shared" si="38"/>
        <v>0</v>
      </c>
      <c r="BB41" s="204">
        <f t="shared" si="38"/>
        <v>0</v>
      </c>
      <c r="BC41" s="208">
        <f t="shared" si="39"/>
        <v>1</v>
      </c>
      <c r="BD41" s="209">
        <f t="shared" si="39"/>
        <v>1</v>
      </c>
      <c r="BE41" s="210">
        <f t="shared" si="40"/>
        <v>151</v>
      </c>
      <c r="BF41" s="211">
        <f t="shared" si="40"/>
        <v>215</v>
      </c>
      <c r="BG41" s="212">
        <f t="shared" si="41"/>
        <v>152</v>
      </c>
      <c r="BH41" s="213">
        <f t="shared" si="41"/>
        <v>216</v>
      </c>
    </row>
    <row r="42" spans="1:61" ht="21.6" thickBot="1" x14ac:dyDescent="0.35">
      <c r="A42" s="255" t="s">
        <v>172</v>
      </c>
      <c r="B42" s="179">
        <v>2</v>
      </c>
      <c r="C42" s="256">
        <v>4</v>
      </c>
      <c r="D42" s="257" t="s">
        <v>65</v>
      </c>
      <c r="E42" s="258" t="s">
        <v>189</v>
      </c>
      <c r="F42" s="259" t="s">
        <v>184</v>
      </c>
      <c r="G42" s="260" t="s">
        <v>190</v>
      </c>
      <c r="H42" s="261" t="s">
        <v>191</v>
      </c>
      <c r="I42" s="261" t="s">
        <v>192</v>
      </c>
      <c r="J42" s="262" t="s">
        <v>193</v>
      </c>
      <c r="K42" s="263">
        <f t="shared" si="31"/>
        <v>0.59722222221898846</v>
      </c>
      <c r="L42" s="264">
        <v>0.17708333332848269</v>
      </c>
      <c r="M42" s="189">
        <f t="shared" si="32"/>
        <v>0.42013888889050577</v>
      </c>
      <c r="N42" s="189">
        <f t="shared" si="33"/>
        <v>0.63888888889050577</v>
      </c>
      <c r="O42" s="190">
        <f t="shared" si="34"/>
        <v>51.570247933685835</v>
      </c>
      <c r="P42" s="190">
        <f t="shared" si="35"/>
        <v>36.279069767638298</v>
      </c>
      <c r="Q42" s="191">
        <f t="shared" si="36"/>
        <v>33.913043478175048</v>
      </c>
      <c r="R42" s="265" t="s">
        <v>71</v>
      </c>
      <c r="S42" s="239">
        <v>88</v>
      </c>
      <c r="T42" s="240">
        <v>3</v>
      </c>
      <c r="U42" s="241">
        <v>143</v>
      </c>
      <c r="V42" s="242">
        <v>8</v>
      </c>
      <c r="W42" s="266">
        <v>0</v>
      </c>
      <c r="X42" s="267">
        <v>5</v>
      </c>
      <c r="Y42" s="245">
        <f t="shared" si="25"/>
        <v>247</v>
      </c>
      <c r="Z42" s="268">
        <f t="shared" si="2"/>
        <v>403</v>
      </c>
      <c r="AA42" s="239">
        <v>117</v>
      </c>
      <c r="AB42" s="240">
        <v>15</v>
      </c>
      <c r="AC42" s="241">
        <v>88</v>
      </c>
      <c r="AD42" s="246">
        <v>49</v>
      </c>
      <c r="AE42" s="269">
        <v>0</v>
      </c>
      <c r="AF42" s="267">
        <v>4</v>
      </c>
      <c r="AG42" s="245">
        <f t="shared" si="18"/>
        <v>273</v>
      </c>
      <c r="AH42" s="268">
        <f t="shared" si="19"/>
        <v>414</v>
      </c>
      <c r="AI42" s="248">
        <f t="shared" si="37"/>
        <v>520</v>
      </c>
      <c r="AJ42" s="249">
        <f t="shared" si="37"/>
        <v>817</v>
      </c>
      <c r="AK42" s="239"/>
      <c r="AL42" s="240"/>
      <c r="AM42" s="241"/>
      <c r="AN42" s="242"/>
      <c r="AO42" s="266"/>
      <c r="AP42" s="267"/>
      <c r="AQ42" s="270">
        <f t="shared" si="28"/>
        <v>0</v>
      </c>
      <c r="AR42" s="271">
        <f t="shared" si="21"/>
        <v>0</v>
      </c>
      <c r="AS42" s="239"/>
      <c r="AT42" s="240"/>
      <c r="AU42" s="241"/>
      <c r="AV42" s="242"/>
      <c r="AW42" s="266"/>
      <c r="AX42" s="267"/>
      <c r="AY42" s="270">
        <f t="shared" si="30"/>
        <v>0</v>
      </c>
      <c r="AZ42" s="271">
        <f t="shared" si="23"/>
        <v>0</v>
      </c>
      <c r="BA42" s="272">
        <f t="shared" si="38"/>
        <v>0</v>
      </c>
      <c r="BB42" s="249">
        <f t="shared" si="38"/>
        <v>0</v>
      </c>
      <c r="BC42" s="273">
        <f t="shared" si="39"/>
        <v>247</v>
      </c>
      <c r="BD42" s="274">
        <f t="shared" si="39"/>
        <v>403</v>
      </c>
      <c r="BE42" s="275">
        <f t="shared" si="40"/>
        <v>273</v>
      </c>
      <c r="BF42" s="276">
        <f t="shared" si="40"/>
        <v>414</v>
      </c>
      <c r="BG42" s="277">
        <f t="shared" si="41"/>
        <v>520</v>
      </c>
      <c r="BH42" s="278">
        <f t="shared" si="41"/>
        <v>817</v>
      </c>
    </row>
    <row r="43" spans="1:61" ht="21.6" thickBot="1" x14ac:dyDescent="0.35">
      <c r="A43" s="279" t="s">
        <v>172</v>
      </c>
      <c r="B43" s="179">
        <v>2</v>
      </c>
      <c r="C43" s="280">
        <v>5</v>
      </c>
      <c r="D43" s="215" t="s">
        <v>58</v>
      </c>
      <c r="E43" s="182" t="s">
        <v>194</v>
      </c>
      <c r="F43" s="281" t="s">
        <v>157</v>
      </c>
      <c r="G43" s="216" t="s">
        <v>195</v>
      </c>
      <c r="H43" s="217" t="s">
        <v>196</v>
      </c>
      <c r="I43" s="217" t="s">
        <v>197</v>
      </c>
      <c r="J43" s="218" t="s">
        <v>198</v>
      </c>
      <c r="K43" s="223">
        <f t="shared" si="31"/>
        <v>4.3263888888905058</v>
      </c>
      <c r="L43" s="222">
        <v>4.0088773148163455</v>
      </c>
      <c r="M43" s="189">
        <f t="shared" si="32"/>
        <v>0.31751157407416031</v>
      </c>
      <c r="N43" s="189">
        <f t="shared" si="33"/>
        <v>4.3819444444452529</v>
      </c>
      <c r="O43" s="190">
        <f t="shared" si="34"/>
        <v>30.313855575393656</v>
      </c>
      <c r="P43" s="190">
        <f t="shared" si="35"/>
        <v>2.2247191011227643</v>
      </c>
      <c r="Q43" s="191">
        <f t="shared" si="36"/>
        <v>2.1965134706810527</v>
      </c>
      <c r="R43" s="192" t="s">
        <v>57</v>
      </c>
      <c r="S43" s="193">
        <v>10</v>
      </c>
      <c r="T43" s="194">
        <v>1</v>
      </c>
      <c r="U43" s="195">
        <v>43</v>
      </c>
      <c r="V43" s="196">
        <v>55</v>
      </c>
      <c r="W43" s="219">
        <v>0</v>
      </c>
      <c r="X43" s="220">
        <v>0</v>
      </c>
      <c r="Y43" s="199">
        <f t="shared" si="25"/>
        <v>109</v>
      </c>
      <c r="Z43" s="200">
        <f t="shared" si="2"/>
        <v>207</v>
      </c>
      <c r="AA43" s="193">
        <v>69</v>
      </c>
      <c r="AB43" s="194">
        <v>0</v>
      </c>
      <c r="AC43" s="195">
        <v>53</v>
      </c>
      <c r="AD43" s="201">
        <v>0</v>
      </c>
      <c r="AE43" s="221">
        <v>0</v>
      </c>
      <c r="AF43" s="220">
        <v>0</v>
      </c>
      <c r="AG43" s="199">
        <f t="shared" si="18"/>
        <v>122</v>
      </c>
      <c r="AH43" s="200">
        <f t="shared" si="19"/>
        <v>175</v>
      </c>
      <c r="AI43" s="203">
        <f t="shared" si="37"/>
        <v>231</v>
      </c>
      <c r="AJ43" s="204">
        <f t="shared" si="37"/>
        <v>382</v>
      </c>
      <c r="AK43" s="193"/>
      <c r="AL43" s="194"/>
      <c r="AM43" s="195"/>
      <c r="AN43" s="196"/>
      <c r="AO43" s="219"/>
      <c r="AP43" s="220"/>
      <c r="AQ43" s="205">
        <f t="shared" si="28"/>
        <v>0</v>
      </c>
      <c r="AR43" s="206">
        <f t="shared" si="21"/>
        <v>0</v>
      </c>
      <c r="AS43" s="193"/>
      <c r="AT43" s="194"/>
      <c r="AU43" s="195"/>
      <c r="AV43" s="196"/>
      <c r="AW43" s="219"/>
      <c r="AX43" s="220"/>
      <c r="AY43" s="205">
        <f t="shared" si="30"/>
        <v>0</v>
      </c>
      <c r="AZ43" s="206">
        <f t="shared" si="23"/>
        <v>0</v>
      </c>
      <c r="BA43" s="207">
        <f t="shared" si="38"/>
        <v>0</v>
      </c>
      <c r="BB43" s="204">
        <f t="shared" si="38"/>
        <v>0</v>
      </c>
      <c r="BC43" s="208">
        <f t="shared" si="39"/>
        <v>109</v>
      </c>
      <c r="BD43" s="209">
        <f t="shared" si="39"/>
        <v>207</v>
      </c>
      <c r="BE43" s="210">
        <f t="shared" si="40"/>
        <v>122</v>
      </c>
      <c r="BF43" s="211">
        <f t="shared" si="40"/>
        <v>175</v>
      </c>
      <c r="BG43" s="282">
        <f t="shared" si="41"/>
        <v>231</v>
      </c>
      <c r="BH43" s="283">
        <f t="shared" si="41"/>
        <v>382</v>
      </c>
    </row>
    <row r="44" spans="1:61" ht="21.6" thickBot="1" x14ac:dyDescent="0.35">
      <c r="A44" s="214" t="s">
        <v>172</v>
      </c>
      <c r="B44" s="179">
        <v>3</v>
      </c>
      <c r="C44" s="280">
        <v>6</v>
      </c>
      <c r="D44" s="215" t="s">
        <v>199</v>
      </c>
      <c r="E44" s="182" t="s">
        <v>151</v>
      </c>
      <c r="F44" s="281" t="s">
        <v>200</v>
      </c>
      <c r="G44" s="216" t="s">
        <v>201</v>
      </c>
      <c r="H44" s="217" t="s">
        <v>201</v>
      </c>
      <c r="I44" s="217" t="s">
        <v>202</v>
      </c>
      <c r="J44" s="218" t="s">
        <v>203</v>
      </c>
      <c r="K44" s="223">
        <f t="shared" si="31"/>
        <v>0.54375000000436557</v>
      </c>
      <c r="L44" s="222">
        <v>0.22569444443797693</v>
      </c>
      <c r="M44" s="189">
        <f t="shared" si="32"/>
        <v>0.31805555556638865</v>
      </c>
      <c r="N44" s="189">
        <f t="shared" si="33"/>
        <v>0.62708333333284827</v>
      </c>
      <c r="O44" s="190">
        <f t="shared" si="34"/>
        <v>26.724890828784066</v>
      </c>
      <c r="P44" s="190">
        <f t="shared" si="35"/>
        <v>15.632183907920471</v>
      </c>
      <c r="Q44" s="191">
        <f t="shared" si="36"/>
        <v>13.554817275757992</v>
      </c>
      <c r="R44" s="192" t="s">
        <v>57</v>
      </c>
      <c r="S44" s="193"/>
      <c r="T44" s="194"/>
      <c r="U44" s="195"/>
      <c r="V44" s="196"/>
      <c r="W44" s="219"/>
      <c r="X44" s="220"/>
      <c r="Y44" s="199">
        <f t="shared" si="25"/>
        <v>0</v>
      </c>
      <c r="Z44" s="200">
        <f t="shared" si="2"/>
        <v>0</v>
      </c>
      <c r="AA44" s="193">
        <v>136</v>
      </c>
      <c r="AB44" s="194">
        <v>0</v>
      </c>
      <c r="AC44" s="195">
        <v>56</v>
      </c>
      <c r="AD44" s="201">
        <v>5</v>
      </c>
      <c r="AE44" s="221">
        <v>0</v>
      </c>
      <c r="AF44" s="220">
        <v>7</v>
      </c>
      <c r="AG44" s="199">
        <f t="shared" si="18"/>
        <v>204</v>
      </c>
      <c r="AH44" s="200">
        <f t="shared" si="19"/>
        <v>272</v>
      </c>
      <c r="AI44" s="203">
        <f t="shared" si="37"/>
        <v>204</v>
      </c>
      <c r="AJ44" s="204">
        <f t="shared" si="37"/>
        <v>272</v>
      </c>
      <c r="AK44" s="193"/>
      <c r="AL44" s="194"/>
      <c r="AM44" s="195"/>
      <c r="AN44" s="196"/>
      <c r="AO44" s="219"/>
      <c r="AP44" s="220"/>
      <c r="AQ44" s="205">
        <f t="shared" si="28"/>
        <v>0</v>
      </c>
      <c r="AR44" s="206">
        <f t="shared" si="21"/>
        <v>0</v>
      </c>
      <c r="AS44" s="193"/>
      <c r="AT44" s="194"/>
      <c r="AU44" s="195"/>
      <c r="AV44" s="196"/>
      <c r="AW44" s="219"/>
      <c r="AX44" s="220"/>
      <c r="AY44" s="205">
        <f t="shared" si="30"/>
        <v>0</v>
      </c>
      <c r="AZ44" s="206">
        <f t="shared" si="23"/>
        <v>0</v>
      </c>
      <c r="BA44" s="207">
        <f t="shared" si="38"/>
        <v>0</v>
      </c>
      <c r="BB44" s="204">
        <f t="shared" si="38"/>
        <v>0</v>
      </c>
      <c r="BC44" s="208">
        <f t="shared" si="39"/>
        <v>0</v>
      </c>
      <c r="BD44" s="209">
        <f t="shared" si="39"/>
        <v>0</v>
      </c>
      <c r="BE44" s="210">
        <f t="shared" si="40"/>
        <v>204</v>
      </c>
      <c r="BF44" s="211">
        <f t="shared" si="40"/>
        <v>272</v>
      </c>
      <c r="BG44" s="282">
        <f t="shared" si="41"/>
        <v>204</v>
      </c>
      <c r="BH44" s="283">
        <f t="shared" si="41"/>
        <v>272</v>
      </c>
    </row>
    <row r="45" spans="1:61" ht="21.6" thickBot="1" x14ac:dyDescent="0.35">
      <c r="A45" s="214" t="s">
        <v>172</v>
      </c>
      <c r="B45" s="179">
        <v>3</v>
      </c>
      <c r="C45" s="280">
        <v>7</v>
      </c>
      <c r="D45" s="215" t="s">
        <v>79</v>
      </c>
      <c r="E45" s="182" t="s">
        <v>204</v>
      </c>
      <c r="F45" s="281" t="s">
        <v>184</v>
      </c>
      <c r="G45" s="216" t="s">
        <v>205</v>
      </c>
      <c r="H45" s="217" t="s">
        <v>206</v>
      </c>
      <c r="I45" s="217" t="s">
        <v>207</v>
      </c>
      <c r="J45" s="218" t="s">
        <v>208</v>
      </c>
      <c r="K45" s="223">
        <f t="shared" si="31"/>
        <v>0.4416666666729725</v>
      </c>
      <c r="L45" s="222"/>
      <c r="M45" s="189">
        <f t="shared" si="32"/>
        <v>0.4416666666729725</v>
      </c>
      <c r="N45" s="189">
        <f t="shared" si="33"/>
        <v>0.49652777777373558</v>
      </c>
      <c r="O45" s="190">
        <f t="shared" si="34"/>
        <v>56.886792452018</v>
      </c>
      <c r="P45" s="190">
        <f t="shared" si="35"/>
        <v>56.886792452018</v>
      </c>
      <c r="Q45" s="191">
        <f t="shared" si="36"/>
        <v>50.601398601810537</v>
      </c>
      <c r="R45" s="192" t="s">
        <v>71</v>
      </c>
      <c r="S45" s="193">
        <v>129</v>
      </c>
      <c r="T45" s="194">
        <v>2</v>
      </c>
      <c r="U45" s="195">
        <v>176</v>
      </c>
      <c r="V45" s="196">
        <v>7</v>
      </c>
      <c r="W45" s="219">
        <v>0</v>
      </c>
      <c r="X45" s="220">
        <v>1</v>
      </c>
      <c r="Y45" s="199">
        <f t="shared" si="25"/>
        <v>315</v>
      </c>
      <c r="Z45" s="200">
        <f t="shared" si="2"/>
        <v>499</v>
      </c>
      <c r="AA45" s="193">
        <v>124</v>
      </c>
      <c r="AB45" s="194">
        <v>6</v>
      </c>
      <c r="AC45" s="195">
        <v>121</v>
      </c>
      <c r="AD45" s="201">
        <v>32</v>
      </c>
      <c r="AE45" s="221">
        <v>0</v>
      </c>
      <c r="AF45" s="220">
        <v>5</v>
      </c>
      <c r="AG45" s="199">
        <f t="shared" si="18"/>
        <v>288</v>
      </c>
      <c r="AH45" s="200">
        <f t="shared" si="19"/>
        <v>446</v>
      </c>
      <c r="AI45" s="203">
        <f t="shared" si="37"/>
        <v>603</v>
      </c>
      <c r="AJ45" s="204">
        <f t="shared" si="37"/>
        <v>945</v>
      </c>
      <c r="AK45" s="193"/>
      <c r="AL45" s="194"/>
      <c r="AM45" s="195"/>
      <c r="AN45" s="196"/>
      <c r="AO45" s="219"/>
      <c r="AP45" s="220"/>
      <c r="AQ45" s="205">
        <f t="shared" si="28"/>
        <v>0</v>
      </c>
      <c r="AR45" s="206">
        <f t="shared" si="21"/>
        <v>0</v>
      </c>
      <c r="AS45" s="193"/>
      <c r="AT45" s="194"/>
      <c r="AU45" s="195"/>
      <c r="AV45" s="196"/>
      <c r="AW45" s="219"/>
      <c r="AX45" s="220"/>
      <c r="AY45" s="205">
        <f t="shared" si="30"/>
        <v>0</v>
      </c>
      <c r="AZ45" s="206">
        <f t="shared" si="23"/>
        <v>0</v>
      </c>
      <c r="BA45" s="207">
        <f t="shared" si="38"/>
        <v>0</v>
      </c>
      <c r="BB45" s="204">
        <f t="shared" si="38"/>
        <v>0</v>
      </c>
      <c r="BC45" s="208">
        <f t="shared" si="39"/>
        <v>315</v>
      </c>
      <c r="BD45" s="209">
        <f t="shared" si="39"/>
        <v>499</v>
      </c>
      <c r="BE45" s="210">
        <f t="shared" si="40"/>
        <v>288</v>
      </c>
      <c r="BF45" s="211">
        <f t="shared" si="40"/>
        <v>446</v>
      </c>
      <c r="BG45" s="282">
        <f t="shared" si="41"/>
        <v>603</v>
      </c>
      <c r="BH45" s="283">
        <f t="shared" si="41"/>
        <v>945</v>
      </c>
    </row>
    <row r="46" spans="1:61" ht="21.6" thickBot="1" x14ac:dyDescent="0.35">
      <c r="A46" s="214" t="s">
        <v>172</v>
      </c>
      <c r="B46" s="179">
        <v>4</v>
      </c>
      <c r="C46" s="280">
        <v>8</v>
      </c>
      <c r="D46" s="215" t="s">
        <v>51</v>
      </c>
      <c r="E46" s="182" t="s">
        <v>209</v>
      </c>
      <c r="F46" s="281" t="s">
        <v>210</v>
      </c>
      <c r="G46" s="216" t="s">
        <v>211</v>
      </c>
      <c r="H46" s="217" t="s">
        <v>212</v>
      </c>
      <c r="I46" s="217" t="s">
        <v>213</v>
      </c>
      <c r="J46" s="218" t="s">
        <v>214</v>
      </c>
      <c r="K46" s="223">
        <f t="shared" si="31"/>
        <v>0.45972222222189885</v>
      </c>
      <c r="L46" s="222"/>
      <c r="M46" s="189">
        <f t="shared" si="32"/>
        <v>0.45972222222189885</v>
      </c>
      <c r="N46" s="189">
        <f t="shared" si="33"/>
        <v>0.48611111110949423</v>
      </c>
      <c r="O46" s="190">
        <f t="shared" si="34"/>
        <v>50.392749244748437</v>
      </c>
      <c r="P46" s="190">
        <f t="shared" si="35"/>
        <v>50.392749244748437</v>
      </c>
      <c r="Q46" s="191">
        <f t="shared" si="36"/>
        <v>47.657142857301373</v>
      </c>
      <c r="R46" s="192" t="s">
        <v>57</v>
      </c>
      <c r="S46" s="193">
        <v>135</v>
      </c>
      <c r="T46" s="194">
        <v>0</v>
      </c>
      <c r="U46" s="195">
        <v>103</v>
      </c>
      <c r="V46" s="196">
        <v>0</v>
      </c>
      <c r="W46" s="219">
        <v>0</v>
      </c>
      <c r="X46" s="220">
        <v>0</v>
      </c>
      <c r="Y46" s="199">
        <f t="shared" si="25"/>
        <v>238</v>
      </c>
      <c r="Z46" s="200">
        <f t="shared" si="2"/>
        <v>341</v>
      </c>
      <c r="AA46" s="193">
        <v>140</v>
      </c>
      <c r="AB46" s="194">
        <v>24</v>
      </c>
      <c r="AC46" s="195">
        <v>95</v>
      </c>
      <c r="AD46" s="201">
        <v>0</v>
      </c>
      <c r="AE46" s="221">
        <v>0</v>
      </c>
      <c r="AF46" s="220">
        <v>15</v>
      </c>
      <c r="AG46" s="199">
        <f t="shared" si="18"/>
        <v>274</v>
      </c>
      <c r="AH46" s="200">
        <f t="shared" si="19"/>
        <v>384</v>
      </c>
      <c r="AI46" s="203">
        <f t="shared" si="37"/>
        <v>512</v>
      </c>
      <c r="AJ46" s="204">
        <f t="shared" si="37"/>
        <v>725</v>
      </c>
      <c r="AK46" s="193">
        <v>0</v>
      </c>
      <c r="AL46" s="194">
        <v>0</v>
      </c>
      <c r="AM46" s="195">
        <v>21</v>
      </c>
      <c r="AN46" s="196">
        <v>0</v>
      </c>
      <c r="AO46" s="219">
        <v>0</v>
      </c>
      <c r="AP46" s="220">
        <v>1</v>
      </c>
      <c r="AQ46" s="205">
        <f t="shared" si="28"/>
        <v>22</v>
      </c>
      <c r="AR46" s="206">
        <f t="shared" si="21"/>
        <v>44</v>
      </c>
      <c r="AS46" s="193">
        <v>0</v>
      </c>
      <c r="AT46" s="194">
        <v>0</v>
      </c>
      <c r="AU46" s="195">
        <v>21</v>
      </c>
      <c r="AV46" s="196">
        <v>0</v>
      </c>
      <c r="AW46" s="219">
        <v>0</v>
      </c>
      <c r="AX46" s="220">
        <v>1</v>
      </c>
      <c r="AY46" s="205">
        <f t="shared" si="30"/>
        <v>22</v>
      </c>
      <c r="AZ46" s="206">
        <f t="shared" si="23"/>
        <v>44</v>
      </c>
      <c r="BA46" s="207">
        <f t="shared" si="38"/>
        <v>44</v>
      </c>
      <c r="BB46" s="204">
        <f t="shared" si="38"/>
        <v>88</v>
      </c>
      <c r="BC46" s="208">
        <f t="shared" si="39"/>
        <v>260</v>
      </c>
      <c r="BD46" s="209">
        <f t="shared" si="39"/>
        <v>385</v>
      </c>
      <c r="BE46" s="210">
        <f t="shared" si="40"/>
        <v>296</v>
      </c>
      <c r="BF46" s="211">
        <f t="shared" si="40"/>
        <v>428</v>
      </c>
      <c r="BG46" s="282">
        <f t="shared" si="41"/>
        <v>556</v>
      </c>
      <c r="BH46" s="283">
        <f t="shared" si="41"/>
        <v>813</v>
      </c>
    </row>
    <row r="47" spans="1:61" ht="21.6" thickBot="1" x14ac:dyDescent="0.35">
      <c r="A47" s="214" t="s">
        <v>172</v>
      </c>
      <c r="B47" s="179">
        <v>2</v>
      </c>
      <c r="C47" s="280">
        <v>9</v>
      </c>
      <c r="D47" s="181" t="s">
        <v>43</v>
      </c>
      <c r="E47" s="182" t="s">
        <v>215</v>
      </c>
      <c r="F47" s="281" t="s">
        <v>216</v>
      </c>
      <c r="G47" s="216" t="s">
        <v>217</v>
      </c>
      <c r="H47" s="217" t="s">
        <v>218</v>
      </c>
      <c r="I47" s="217" t="s">
        <v>219</v>
      </c>
      <c r="J47" s="218" t="s">
        <v>220</v>
      </c>
      <c r="K47" s="223">
        <f t="shared" si="31"/>
        <v>0.75694444444525288</v>
      </c>
      <c r="L47" s="222"/>
      <c r="M47" s="189">
        <f t="shared" si="32"/>
        <v>0.75694444444525288</v>
      </c>
      <c r="N47" s="189">
        <f t="shared" si="33"/>
        <v>0.79513888889050577</v>
      </c>
      <c r="O47" s="190">
        <f t="shared" si="34"/>
        <v>38.422018348582817</v>
      </c>
      <c r="P47" s="190">
        <f t="shared" si="35"/>
        <v>38.422018348582817</v>
      </c>
      <c r="Q47" s="191">
        <f t="shared" si="36"/>
        <v>36.57641921389942</v>
      </c>
      <c r="R47" s="192" t="s">
        <v>50</v>
      </c>
      <c r="S47" s="193">
        <v>128</v>
      </c>
      <c r="T47" s="194">
        <v>104</v>
      </c>
      <c r="U47" s="195">
        <v>133</v>
      </c>
      <c r="V47" s="196">
        <v>39</v>
      </c>
      <c r="W47" s="219">
        <v>0</v>
      </c>
      <c r="X47" s="220">
        <v>0</v>
      </c>
      <c r="Y47" s="199">
        <f t="shared" si="25"/>
        <v>404</v>
      </c>
      <c r="Z47" s="200">
        <f t="shared" si="2"/>
        <v>576</v>
      </c>
      <c r="AA47" s="193">
        <v>139</v>
      </c>
      <c r="AB47" s="194">
        <v>1</v>
      </c>
      <c r="AC47" s="195">
        <v>134</v>
      </c>
      <c r="AD47" s="201">
        <v>20</v>
      </c>
      <c r="AE47" s="221">
        <v>0</v>
      </c>
      <c r="AF47" s="220">
        <v>0</v>
      </c>
      <c r="AG47" s="199">
        <f t="shared" si="18"/>
        <v>294</v>
      </c>
      <c r="AH47" s="200">
        <f t="shared" si="19"/>
        <v>448</v>
      </c>
      <c r="AI47" s="203">
        <f t="shared" si="37"/>
        <v>698</v>
      </c>
      <c r="AJ47" s="204">
        <f t="shared" si="37"/>
        <v>1024</v>
      </c>
      <c r="AK47" s="193"/>
      <c r="AL47" s="194"/>
      <c r="AM47" s="195"/>
      <c r="AN47" s="196"/>
      <c r="AO47" s="219"/>
      <c r="AP47" s="220"/>
      <c r="AQ47" s="205">
        <f t="shared" si="28"/>
        <v>0</v>
      </c>
      <c r="AR47" s="206">
        <f t="shared" si="21"/>
        <v>0</v>
      </c>
      <c r="AS47" s="193"/>
      <c r="AT47" s="194"/>
      <c r="AU47" s="195"/>
      <c r="AV47" s="196"/>
      <c r="AW47" s="219"/>
      <c r="AX47" s="220"/>
      <c r="AY47" s="205">
        <f t="shared" si="30"/>
        <v>0</v>
      </c>
      <c r="AZ47" s="206">
        <f t="shared" si="23"/>
        <v>0</v>
      </c>
      <c r="BA47" s="207">
        <f t="shared" si="38"/>
        <v>0</v>
      </c>
      <c r="BB47" s="204">
        <f t="shared" si="38"/>
        <v>0</v>
      </c>
      <c r="BC47" s="208">
        <f t="shared" si="39"/>
        <v>404</v>
      </c>
      <c r="BD47" s="209">
        <f t="shared" si="39"/>
        <v>576</v>
      </c>
      <c r="BE47" s="210">
        <f t="shared" si="40"/>
        <v>294</v>
      </c>
      <c r="BF47" s="211">
        <f t="shared" si="40"/>
        <v>448</v>
      </c>
      <c r="BG47" s="282">
        <f t="shared" si="41"/>
        <v>698</v>
      </c>
      <c r="BH47" s="283">
        <f t="shared" si="41"/>
        <v>1024</v>
      </c>
    </row>
    <row r="48" spans="1:61" ht="21.6" thickBot="1" x14ac:dyDescent="0.35">
      <c r="A48" s="279" t="s">
        <v>172</v>
      </c>
      <c r="B48" s="179">
        <v>5</v>
      </c>
      <c r="C48" s="280">
        <v>10</v>
      </c>
      <c r="D48" s="215" t="s">
        <v>58</v>
      </c>
      <c r="E48" s="182" t="s">
        <v>221</v>
      </c>
      <c r="F48" s="281" t="s">
        <v>184</v>
      </c>
      <c r="G48" s="216" t="s">
        <v>222</v>
      </c>
      <c r="H48" s="217" t="s">
        <v>223</v>
      </c>
      <c r="I48" s="217" t="s">
        <v>224</v>
      </c>
      <c r="J48" s="218" t="s">
        <v>225</v>
      </c>
      <c r="K48" s="223">
        <f t="shared" si="31"/>
        <v>0.58541666666860692</v>
      </c>
      <c r="L48" s="222">
        <v>5.5555555555555469E-2</v>
      </c>
      <c r="M48" s="189">
        <f t="shared" si="32"/>
        <v>0.52986111111305145</v>
      </c>
      <c r="N48" s="189">
        <f t="shared" si="33"/>
        <v>0.62847222222626442</v>
      </c>
      <c r="O48" s="190">
        <f t="shared" si="34"/>
        <v>33.656618610623802</v>
      </c>
      <c r="P48" s="190">
        <f t="shared" si="35"/>
        <v>30.462633451856334</v>
      </c>
      <c r="Q48" s="191">
        <f t="shared" si="36"/>
        <v>28.375690607552301</v>
      </c>
      <c r="R48" s="192" t="s">
        <v>57</v>
      </c>
      <c r="S48" s="193">
        <v>91</v>
      </c>
      <c r="T48" s="194">
        <v>15</v>
      </c>
      <c r="U48" s="195">
        <v>43</v>
      </c>
      <c r="V48" s="196">
        <v>15</v>
      </c>
      <c r="W48" s="219">
        <v>0</v>
      </c>
      <c r="X48" s="220">
        <v>0</v>
      </c>
      <c r="Y48" s="199">
        <f t="shared" si="25"/>
        <v>164</v>
      </c>
      <c r="Z48" s="200">
        <f t="shared" si="2"/>
        <v>222</v>
      </c>
      <c r="AA48" s="193">
        <v>86</v>
      </c>
      <c r="AB48" s="194">
        <v>1</v>
      </c>
      <c r="AC48" s="195">
        <v>49</v>
      </c>
      <c r="AD48" s="201">
        <v>128</v>
      </c>
      <c r="AE48" s="221">
        <v>0</v>
      </c>
      <c r="AF48" s="220">
        <v>0</v>
      </c>
      <c r="AG48" s="199">
        <f t="shared" si="18"/>
        <v>264</v>
      </c>
      <c r="AH48" s="200">
        <f t="shared" si="19"/>
        <v>441</v>
      </c>
      <c r="AI48" s="203">
        <f t="shared" si="37"/>
        <v>428</v>
      </c>
      <c r="AJ48" s="204">
        <f t="shared" si="37"/>
        <v>663</v>
      </c>
      <c r="AK48" s="193"/>
      <c r="AL48" s="194"/>
      <c r="AM48" s="195"/>
      <c r="AN48" s="196"/>
      <c r="AO48" s="219"/>
      <c r="AP48" s="220"/>
      <c r="AQ48" s="205">
        <f t="shared" si="28"/>
        <v>0</v>
      </c>
      <c r="AR48" s="206">
        <f t="shared" si="21"/>
        <v>0</v>
      </c>
      <c r="AS48" s="193"/>
      <c r="AT48" s="194"/>
      <c r="AU48" s="195"/>
      <c r="AV48" s="196"/>
      <c r="AW48" s="219"/>
      <c r="AX48" s="220"/>
      <c r="AY48" s="205">
        <f t="shared" si="30"/>
        <v>0</v>
      </c>
      <c r="AZ48" s="206">
        <f t="shared" si="23"/>
        <v>0</v>
      </c>
      <c r="BA48" s="207">
        <f t="shared" si="38"/>
        <v>0</v>
      </c>
      <c r="BB48" s="204">
        <f t="shared" si="38"/>
        <v>0</v>
      </c>
      <c r="BC48" s="208">
        <f t="shared" si="39"/>
        <v>164</v>
      </c>
      <c r="BD48" s="209">
        <f t="shared" si="39"/>
        <v>222</v>
      </c>
      <c r="BE48" s="210">
        <f t="shared" si="40"/>
        <v>264</v>
      </c>
      <c r="BF48" s="211">
        <f t="shared" si="40"/>
        <v>441</v>
      </c>
      <c r="BG48" s="282">
        <f t="shared" si="41"/>
        <v>428</v>
      </c>
      <c r="BH48" s="283">
        <f t="shared" si="41"/>
        <v>663</v>
      </c>
    </row>
    <row r="49" spans="1:60" ht="21.6" thickBot="1" x14ac:dyDescent="0.35">
      <c r="A49" s="214" t="s">
        <v>172</v>
      </c>
      <c r="B49" s="179">
        <v>4</v>
      </c>
      <c r="C49" s="280">
        <v>11</v>
      </c>
      <c r="D49" s="215" t="s">
        <v>65</v>
      </c>
      <c r="E49" s="182" t="s">
        <v>226</v>
      </c>
      <c r="F49" s="281" t="s">
        <v>210</v>
      </c>
      <c r="G49" s="216" t="s">
        <v>227</v>
      </c>
      <c r="H49" s="217" t="s">
        <v>228</v>
      </c>
      <c r="I49" s="217" t="s">
        <v>229</v>
      </c>
      <c r="J49" s="218" t="s">
        <v>230</v>
      </c>
      <c r="K49" s="223">
        <f t="shared" si="31"/>
        <v>0.49305555555474712</v>
      </c>
      <c r="L49" s="222"/>
      <c r="M49" s="189">
        <f t="shared" si="32"/>
        <v>0.49305555555474712</v>
      </c>
      <c r="N49" s="189">
        <f t="shared" si="33"/>
        <v>0.52777777778101154</v>
      </c>
      <c r="O49" s="190">
        <f t="shared" si="34"/>
        <v>51.042253521210455</v>
      </c>
      <c r="P49" s="190">
        <f t="shared" si="35"/>
        <v>51.042253521210455</v>
      </c>
      <c r="Q49" s="191">
        <f t="shared" si="36"/>
        <v>47.684210526023627</v>
      </c>
      <c r="R49" s="192" t="s">
        <v>71</v>
      </c>
      <c r="S49" s="193">
        <v>130</v>
      </c>
      <c r="T49" s="194">
        <v>1</v>
      </c>
      <c r="U49" s="195">
        <v>166</v>
      </c>
      <c r="V49" s="196">
        <v>9</v>
      </c>
      <c r="W49" s="219">
        <v>0</v>
      </c>
      <c r="X49" s="220">
        <v>2</v>
      </c>
      <c r="Y49" s="199">
        <f t="shared" si="25"/>
        <v>308</v>
      </c>
      <c r="Z49" s="200">
        <f t="shared" si="2"/>
        <v>485</v>
      </c>
      <c r="AA49" s="193">
        <v>122</v>
      </c>
      <c r="AB49" s="194">
        <v>6</v>
      </c>
      <c r="AC49" s="195">
        <v>126</v>
      </c>
      <c r="AD49" s="201">
        <v>38</v>
      </c>
      <c r="AE49" s="221">
        <v>0</v>
      </c>
      <c r="AF49" s="220">
        <v>4</v>
      </c>
      <c r="AG49" s="199">
        <f t="shared" si="18"/>
        <v>296</v>
      </c>
      <c r="AH49" s="200">
        <f t="shared" si="19"/>
        <v>464</v>
      </c>
      <c r="AI49" s="203">
        <f t="shared" si="37"/>
        <v>604</v>
      </c>
      <c r="AJ49" s="204">
        <f t="shared" si="37"/>
        <v>949</v>
      </c>
      <c r="AK49" s="193"/>
      <c r="AL49" s="194"/>
      <c r="AM49" s="195"/>
      <c r="AN49" s="196"/>
      <c r="AO49" s="219"/>
      <c r="AP49" s="220"/>
      <c r="AQ49" s="205">
        <f t="shared" si="28"/>
        <v>0</v>
      </c>
      <c r="AR49" s="206">
        <f t="shared" si="21"/>
        <v>0</v>
      </c>
      <c r="AS49" s="193"/>
      <c r="AT49" s="194"/>
      <c r="AU49" s="195"/>
      <c r="AV49" s="196"/>
      <c r="AW49" s="219"/>
      <c r="AX49" s="220"/>
      <c r="AY49" s="205">
        <f t="shared" si="30"/>
        <v>0</v>
      </c>
      <c r="AZ49" s="206">
        <f t="shared" si="23"/>
        <v>0</v>
      </c>
      <c r="BA49" s="207">
        <f t="shared" si="38"/>
        <v>0</v>
      </c>
      <c r="BB49" s="204">
        <f t="shared" si="38"/>
        <v>0</v>
      </c>
      <c r="BC49" s="208">
        <f t="shared" si="39"/>
        <v>308</v>
      </c>
      <c r="BD49" s="209">
        <f t="shared" si="39"/>
        <v>485</v>
      </c>
      <c r="BE49" s="210">
        <f t="shared" si="40"/>
        <v>296</v>
      </c>
      <c r="BF49" s="211">
        <f t="shared" si="40"/>
        <v>464</v>
      </c>
      <c r="BG49" s="282">
        <f t="shared" si="41"/>
        <v>604</v>
      </c>
      <c r="BH49" s="283">
        <f t="shared" si="41"/>
        <v>949</v>
      </c>
    </row>
    <row r="50" spans="1:60" ht="21.6" thickBot="1" x14ac:dyDescent="0.35">
      <c r="A50" s="214" t="s">
        <v>172</v>
      </c>
      <c r="B50" s="179">
        <v>6</v>
      </c>
      <c r="C50" s="280">
        <v>12</v>
      </c>
      <c r="D50" s="215" t="s">
        <v>231</v>
      </c>
      <c r="E50" s="182" t="s">
        <v>232</v>
      </c>
      <c r="F50" s="281" t="s">
        <v>119</v>
      </c>
      <c r="G50" s="216" t="s">
        <v>233</v>
      </c>
      <c r="H50" s="217" t="s">
        <v>234</v>
      </c>
      <c r="I50" s="217" t="s">
        <v>235</v>
      </c>
      <c r="J50" s="218" t="s">
        <v>236</v>
      </c>
      <c r="K50" s="223">
        <f t="shared" si="31"/>
        <v>0.38055555555911269</v>
      </c>
      <c r="L50" s="222"/>
      <c r="M50" s="189">
        <f t="shared" si="32"/>
        <v>0.38055555555911269</v>
      </c>
      <c r="N50" s="189">
        <f t="shared" si="33"/>
        <v>0.41319444444525288</v>
      </c>
      <c r="O50" s="190">
        <f t="shared" si="34"/>
        <v>54.197080291464211</v>
      </c>
      <c r="P50" s="190">
        <f t="shared" si="35"/>
        <v>54.197080291464211</v>
      </c>
      <c r="Q50" s="191">
        <f t="shared" si="36"/>
        <v>49.915966386456965</v>
      </c>
      <c r="R50" s="192" t="s">
        <v>57</v>
      </c>
      <c r="S50" s="193">
        <v>138</v>
      </c>
      <c r="T50" s="194">
        <v>0</v>
      </c>
      <c r="U50" s="195">
        <v>92</v>
      </c>
      <c r="V50" s="196">
        <v>0</v>
      </c>
      <c r="W50" s="219">
        <v>0</v>
      </c>
      <c r="X50" s="220">
        <v>6</v>
      </c>
      <c r="Y50" s="199">
        <f t="shared" ref="Y50:Y67" si="42">SUM(S50:X50)</f>
        <v>236</v>
      </c>
      <c r="Z50" s="200">
        <f t="shared" ref="Z50:Z67" si="43">Y50+SUM(U50:V50)+X50</f>
        <v>334</v>
      </c>
      <c r="AA50" s="193">
        <v>154</v>
      </c>
      <c r="AB50" s="194">
        <v>0</v>
      </c>
      <c r="AC50" s="195">
        <v>84</v>
      </c>
      <c r="AD50" s="201">
        <v>5</v>
      </c>
      <c r="AE50" s="221">
        <v>0</v>
      </c>
      <c r="AF50" s="220">
        <v>16</v>
      </c>
      <c r="AG50" s="199">
        <f t="shared" ref="AG50:AG67" si="44">SUM(AA50:AF50)</f>
        <v>259</v>
      </c>
      <c r="AH50" s="200">
        <f t="shared" si="19"/>
        <v>364</v>
      </c>
      <c r="AI50" s="203">
        <f t="shared" si="37"/>
        <v>495</v>
      </c>
      <c r="AJ50" s="204">
        <f t="shared" si="37"/>
        <v>698</v>
      </c>
      <c r="AK50" s="193"/>
      <c r="AL50" s="194"/>
      <c r="AM50" s="195"/>
      <c r="AN50" s="196"/>
      <c r="AO50" s="219"/>
      <c r="AP50" s="220"/>
      <c r="AQ50" s="205">
        <f t="shared" ref="AQ50:AQ67" si="45">SUM(AK50:AP50)</f>
        <v>0</v>
      </c>
      <c r="AR50" s="206">
        <f t="shared" si="21"/>
        <v>0</v>
      </c>
      <c r="AS50" s="193"/>
      <c r="AT50" s="194"/>
      <c r="AU50" s="195"/>
      <c r="AV50" s="196"/>
      <c r="AW50" s="219"/>
      <c r="AX50" s="220"/>
      <c r="AY50" s="205">
        <f t="shared" si="30"/>
        <v>0</v>
      </c>
      <c r="AZ50" s="206">
        <f t="shared" si="23"/>
        <v>0</v>
      </c>
      <c r="BA50" s="207">
        <f t="shared" si="38"/>
        <v>0</v>
      </c>
      <c r="BB50" s="204">
        <f t="shared" si="38"/>
        <v>0</v>
      </c>
      <c r="BC50" s="208">
        <f t="shared" si="39"/>
        <v>236</v>
      </c>
      <c r="BD50" s="209">
        <f t="shared" si="39"/>
        <v>334</v>
      </c>
      <c r="BE50" s="210">
        <f t="shared" si="40"/>
        <v>259</v>
      </c>
      <c r="BF50" s="211">
        <f t="shared" si="40"/>
        <v>364</v>
      </c>
      <c r="BG50" s="282">
        <f t="shared" si="41"/>
        <v>495</v>
      </c>
      <c r="BH50" s="283">
        <f t="shared" si="41"/>
        <v>698</v>
      </c>
    </row>
    <row r="51" spans="1:60" ht="21.6" thickBot="1" x14ac:dyDescent="0.35">
      <c r="A51" s="214" t="s">
        <v>172</v>
      </c>
      <c r="B51" s="179">
        <v>5</v>
      </c>
      <c r="C51" s="280">
        <v>13</v>
      </c>
      <c r="D51" s="215" t="s">
        <v>79</v>
      </c>
      <c r="E51" s="182" t="s">
        <v>237</v>
      </c>
      <c r="F51" s="281" t="s">
        <v>210</v>
      </c>
      <c r="G51" s="216" t="s">
        <v>238</v>
      </c>
      <c r="H51" s="217" t="s">
        <v>239</v>
      </c>
      <c r="I51" s="217" t="s">
        <v>240</v>
      </c>
      <c r="J51" s="218" t="s">
        <v>241</v>
      </c>
      <c r="K51" s="223">
        <f t="shared" si="31"/>
        <v>0.445138888884685</v>
      </c>
      <c r="L51" s="222"/>
      <c r="M51" s="189">
        <f t="shared" si="32"/>
        <v>0.445138888884685</v>
      </c>
      <c r="N51" s="189">
        <f t="shared" si="33"/>
        <v>0.47916666666424135</v>
      </c>
      <c r="O51" s="190">
        <f t="shared" si="34"/>
        <v>56.443057722841935</v>
      </c>
      <c r="P51" s="190">
        <f t="shared" si="35"/>
        <v>56.443057722841935</v>
      </c>
      <c r="Q51" s="191">
        <f t="shared" si="36"/>
        <v>52.434782608961051</v>
      </c>
      <c r="R51" s="192" t="s">
        <v>71</v>
      </c>
      <c r="S51" s="193">
        <v>138</v>
      </c>
      <c r="T51" s="194">
        <v>0</v>
      </c>
      <c r="U51" s="195">
        <v>154</v>
      </c>
      <c r="V51" s="196">
        <v>8</v>
      </c>
      <c r="W51" s="219">
        <v>0</v>
      </c>
      <c r="X51" s="220">
        <v>1</v>
      </c>
      <c r="Y51" s="199">
        <f t="shared" si="42"/>
        <v>301</v>
      </c>
      <c r="Z51" s="200">
        <f t="shared" si="43"/>
        <v>464</v>
      </c>
      <c r="AA51" s="193">
        <v>122</v>
      </c>
      <c r="AB51" s="194">
        <v>6</v>
      </c>
      <c r="AC51" s="195">
        <v>125</v>
      </c>
      <c r="AD51" s="201">
        <v>44</v>
      </c>
      <c r="AE51" s="221">
        <v>0</v>
      </c>
      <c r="AF51" s="220">
        <v>5</v>
      </c>
      <c r="AG51" s="199">
        <f t="shared" si="44"/>
        <v>302</v>
      </c>
      <c r="AH51" s="200">
        <f t="shared" si="19"/>
        <v>476</v>
      </c>
      <c r="AI51" s="203">
        <f t="shared" si="37"/>
        <v>603</v>
      </c>
      <c r="AJ51" s="204">
        <f t="shared" si="37"/>
        <v>940</v>
      </c>
      <c r="AK51" s="193"/>
      <c r="AL51" s="194"/>
      <c r="AM51" s="195"/>
      <c r="AN51" s="196"/>
      <c r="AO51" s="219"/>
      <c r="AP51" s="220"/>
      <c r="AQ51" s="205">
        <f t="shared" si="45"/>
        <v>0</v>
      </c>
      <c r="AR51" s="206">
        <f t="shared" si="21"/>
        <v>0</v>
      </c>
      <c r="AS51" s="193"/>
      <c r="AT51" s="194"/>
      <c r="AU51" s="195"/>
      <c r="AV51" s="196"/>
      <c r="AW51" s="219"/>
      <c r="AX51" s="220"/>
      <c r="AY51" s="205">
        <f t="shared" si="30"/>
        <v>0</v>
      </c>
      <c r="AZ51" s="206">
        <f t="shared" si="23"/>
        <v>0</v>
      </c>
      <c r="BA51" s="207">
        <f t="shared" si="38"/>
        <v>0</v>
      </c>
      <c r="BB51" s="204">
        <f t="shared" si="38"/>
        <v>0</v>
      </c>
      <c r="BC51" s="208">
        <f t="shared" si="39"/>
        <v>301</v>
      </c>
      <c r="BD51" s="209">
        <f t="shared" si="39"/>
        <v>464</v>
      </c>
      <c r="BE51" s="210">
        <f t="shared" si="40"/>
        <v>302</v>
      </c>
      <c r="BF51" s="211">
        <f t="shared" si="40"/>
        <v>476</v>
      </c>
      <c r="BG51" s="282">
        <f t="shared" si="41"/>
        <v>603</v>
      </c>
      <c r="BH51" s="283">
        <f t="shared" si="41"/>
        <v>940</v>
      </c>
    </row>
    <row r="52" spans="1:60" ht="21.6" thickBot="1" x14ac:dyDescent="0.35">
      <c r="A52" s="214" t="s">
        <v>172</v>
      </c>
      <c r="B52" s="179">
        <v>7</v>
      </c>
      <c r="C52" s="280">
        <v>14</v>
      </c>
      <c r="D52" s="215" t="s">
        <v>51</v>
      </c>
      <c r="E52" s="182" t="s">
        <v>242</v>
      </c>
      <c r="F52" s="281" t="s">
        <v>243</v>
      </c>
      <c r="G52" s="216" t="s">
        <v>244</v>
      </c>
      <c r="H52" s="217" t="s">
        <v>245</v>
      </c>
      <c r="I52" s="217" t="s">
        <v>246</v>
      </c>
      <c r="J52" s="218" t="s">
        <v>247</v>
      </c>
      <c r="K52" s="223">
        <f t="shared" si="31"/>
        <v>0.55972222222771961</v>
      </c>
      <c r="L52" s="222"/>
      <c r="M52" s="189">
        <f t="shared" si="32"/>
        <v>0.55972222222771961</v>
      </c>
      <c r="N52" s="189">
        <f t="shared" si="33"/>
        <v>0.61111111110949423</v>
      </c>
      <c r="O52" s="190">
        <f t="shared" si="34"/>
        <v>38.411910669597923</v>
      </c>
      <c r="P52" s="190">
        <f t="shared" si="35"/>
        <v>38.411910669597923</v>
      </c>
      <c r="Q52" s="191">
        <f t="shared" si="36"/>
        <v>35.181818181911268</v>
      </c>
      <c r="R52" s="192" t="s">
        <v>57</v>
      </c>
      <c r="S52" s="193">
        <v>128</v>
      </c>
      <c r="T52" s="194">
        <v>0</v>
      </c>
      <c r="U52" s="195">
        <v>103</v>
      </c>
      <c r="V52" s="196">
        <v>0</v>
      </c>
      <c r="W52" s="219">
        <v>0</v>
      </c>
      <c r="X52" s="220">
        <v>7</v>
      </c>
      <c r="Y52" s="199">
        <f t="shared" si="42"/>
        <v>238</v>
      </c>
      <c r="Z52" s="200">
        <f t="shared" si="43"/>
        <v>348</v>
      </c>
      <c r="AA52" s="193">
        <v>170</v>
      </c>
      <c r="AB52" s="194">
        <v>0</v>
      </c>
      <c r="AC52" s="195">
        <v>93</v>
      </c>
      <c r="AD52" s="201">
        <v>1</v>
      </c>
      <c r="AE52" s="221">
        <v>0</v>
      </c>
      <c r="AF52" s="220">
        <v>14</v>
      </c>
      <c r="AG52" s="199">
        <f t="shared" si="44"/>
        <v>278</v>
      </c>
      <c r="AH52" s="200">
        <f t="shared" si="19"/>
        <v>386</v>
      </c>
      <c r="AI52" s="203">
        <f t="shared" si="37"/>
        <v>516</v>
      </c>
      <c r="AJ52" s="204">
        <f t="shared" si="37"/>
        <v>734</v>
      </c>
      <c r="AK52" s="193"/>
      <c r="AL52" s="194"/>
      <c r="AM52" s="195"/>
      <c r="AN52" s="196"/>
      <c r="AO52" s="219"/>
      <c r="AP52" s="220"/>
      <c r="AQ52" s="205">
        <f t="shared" si="45"/>
        <v>0</v>
      </c>
      <c r="AR52" s="206">
        <f t="shared" si="21"/>
        <v>0</v>
      </c>
      <c r="AS52" s="193"/>
      <c r="AT52" s="194"/>
      <c r="AU52" s="195"/>
      <c r="AV52" s="196"/>
      <c r="AW52" s="219"/>
      <c r="AX52" s="220"/>
      <c r="AY52" s="205">
        <f t="shared" si="30"/>
        <v>0</v>
      </c>
      <c r="AZ52" s="206">
        <f t="shared" si="23"/>
        <v>0</v>
      </c>
      <c r="BA52" s="207">
        <f t="shared" si="38"/>
        <v>0</v>
      </c>
      <c r="BB52" s="204">
        <f t="shared" si="38"/>
        <v>0</v>
      </c>
      <c r="BC52" s="208">
        <f t="shared" si="39"/>
        <v>238</v>
      </c>
      <c r="BD52" s="209">
        <f t="shared" si="39"/>
        <v>348</v>
      </c>
      <c r="BE52" s="210">
        <f t="shared" si="40"/>
        <v>278</v>
      </c>
      <c r="BF52" s="211">
        <f t="shared" si="40"/>
        <v>386</v>
      </c>
      <c r="BG52" s="282">
        <f t="shared" si="41"/>
        <v>516</v>
      </c>
      <c r="BH52" s="283">
        <f t="shared" si="41"/>
        <v>734</v>
      </c>
    </row>
    <row r="53" spans="1:60" ht="21.6" thickBot="1" x14ac:dyDescent="0.35">
      <c r="A53" s="178" t="s">
        <v>172</v>
      </c>
      <c r="B53" s="179">
        <v>8</v>
      </c>
      <c r="C53" s="280">
        <v>15</v>
      </c>
      <c r="D53" s="215" t="s">
        <v>58</v>
      </c>
      <c r="E53" s="182" t="s">
        <v>248</v>
      </c>
      <c r="F53" s="281" t="s">
        <v>210</v>
      </c>
      <c r="G53" s="216" t="s">
        <v>249</v>
      </c>
      <c r="H53" s="217" t="s">
        <v>250</v>
      </c>
      <c r="I53" s="217" t="s">
        <v>251</v>
      </c>
      <c r="J53" s="218" t="s">
        <v>252</v>
      </c>
      <c r="K53" s="223">
        <f t="shared" si="31"/>
        <v>0.60416666667151731</v>
      </c>
      <c r="L53" s="222">
        <v>0.19444444444525288</v>
      </c>
      <c r="M53" s="189">
        <f t="shared" si="32"/>
        <v>0.40972222222626442</v>
      </c>
      <c r="N53" s="189">
        <f t="shared" si="33"/>
        <v>0.66666666666424135</v>
      </c>
      <c r="O53" s="190">
        <f t="shared" si="34"/>
        <v>25.627118643814967</v>
      </c>
      <c r="P53" s="190">
        <f t="shared" si="35"/>
        <v>17.379310344688054</v>
      </c>
      <c r="Q53" s="191">
        <f t="shared" si="36"/>
        <v>15.750000000057298</v>
      </c>
      <c r="R53" s="192" t="s">
        <v>57</v>
      </c>
      <c r="S53" s="193">
        <v>39</v>
      </c>
      <c r="T53" s="194">
        <v>27</v>
      </c>
      <c r="U53" s="284">
        <v>52</v>
      </c>
      <c r="V53" s="285">
        <v>3</v>
      </c>
      <c r="W53" s="286">
        <v>0</v>
      </c>
      <c r="X53" s="287">
        <v>0</v>
      </c>
      <c r="Y53" s="288">
        <f t="shared" si="42"/>
        <v>121</v>
      </c>
      <c r="Z53" s="289">
        <f t="shared" si="43"/>
        <v>176</v>
      </c>
      <c r="AA53" s="290">
        <v>66</v>
      </c>
      <c r="AB53" s="291">
        <v>0</v>
      </c>
      <c r="AC53" s="284">
        <v>65</v>
      </c>
      <c r="AD53" s="292">
        <v>0</v>
      </c>
      <c r="AE53" s="293">
        <v>0</v>
      </c>
      <c r="AF53" s="287">
        <v>0</v>
      </c>
      <c r="AG53" s="288">
        <f t="shared" si="44"/>
        <v>131</v>
      </c>
      <c r="AH53" s="289">
        <f t="shared" si="19"/>
        <v>196</v>
      </c>
      <c r="AI53" s="294">
        <f t="shared" si="37"/>
        <v>252</v>
      </c>
      <c r="AJ53" s="295">
        <f t="shared" si="37"/>
        <v>372</v>
      </c>
      <c r="AK53" s="290"/>
      <c r="AL53" s="291"/>
      <c r="AM53" s="284"/>
      <c r="AN53" s="285"/>
      <c r="AO53" s="286"/>
      <c r="AP53" s="287"/>
      <c r="AQ53" s="296">
        <f t="shared" si="45"/>
        <v>0</v>
      </c>
      <c r="AR53" s="297">
        <f t="shared" si="21"/>
        <v>0</v>
      </c>
      <c r="AS53" s="290"/>
      <c r="AT53" s="291"/>
      <c r="AU53" s="284"/>
      <c r="AV53" s="285"/>
      <c r="AW53" s="286"/>
      <c r="AX53" s="287"/>
      <c r="AY53" s="296">
        <f t="shared" si="30"/>
        <v>0</v>
      </c>
      <c r="AZ53" s="297">
        <f t="shared" si="23"/>
        <v>0</v>
      </c>
      <c r="BA53" s="298">
        <f t="shared" si="38"/>
        <v>0</v>
      </c>
      <c r="BB53" s="295">
        <f t="shared" si="38"/>
        <v>0</v>
      </c>
      <c r="BC53" s="299">
        <f t="shared" si="39"/>
        <v>121</v>
      </c>
      <c r="BD53" s="300">
        <f t="shared" si="39"/>
        <v>176</v>
      </c>
      <c r="BE53" s="301">
        <f t="shared" si="40"/>
        <v>131</v>
      </c>
      <c r="BF53" s="302">
        <f t="shared" si="40"/>
        <v>196</v>
      </c>
      <c r="BG53" s="212">
        <f t="shared" si="41"/>
        <v>252</v>
      </c>
      <c r="BH53" s="213">
        <f t="shared" si="41"/>
        <v>372</v>
      </c>
    </row>
    <row r="54" spans="1:60" ht="21.6" thickBot="1" x14ac:dyDescent="0.35">
      <c r="A54" s="214" t="s">
        <v>172</v>
      </c>
      <c r="B54" s="179">
        <v>3</v>
      </c>
      <c r="C54" s="280">
        <v>16</v>
      </c>
      <c r="D54" s="181" t="s">
        <v>43</v>
      </c>
      <c r="E54" s="182" t="s">
        <v>253</v>
      </c>
      <c r="F54" s="281" t="s">
        <v>254</v>
      </c>
      <c r="G54" s="216" t="s">
        <v>255</v>
      </c>
      <c r="H54" s="217" t="s">
        <v>256</v>
      </c>
      <c r="I54" s="217" t="s">
        <v>257</v>
      </c>
      <c r="J54" s="218" t="s">
        <v>258</v>
      </c>
      <c r="K54" s="223">
        <f t="shared" si="31"/>
        <v>0.51458333332993789</v>
      </c>
      <c r="L54" s="222"/>
      <c r="M54" s="189">
        <f t="shared" si="32"/>
        <v>0.51458333332993789</v>
      </c>
      <c r="N54" s="189">
        <f t="shared" si="33"/>
        <v>0.68055555555474712</v>
      </c>
      <c r="O54" s="190">
        <f t="shared" si="34"/>
        <v>53.765182186589584</v>
      </c>
      <c r="P54" s="190">
        <f t="shared" si="35"/>
        <v>53.765182186589584</v>
      </c>
      <c r="Q54" s="191">
        <f t="shared" si="36"/>
        <v>40.653061224538085</v>
      </c>
      <c r="R54" s="192" t="s">
        <v>50</v>
      </c>
      <c r="S54" s="193">
        <v>124</v>
      </c>
      <c r="T54" s="194">
        <v>114</v>
      </c>
      <c r="U54" s="195">
        <v>139</v>
      </c>
      <c r="V54" s="196">
        <v>0</v>
      </c>
      <c r="W54" s="219">
        <v>0</v>
      </c>
      <c r="X54" s="220">
        <v>0</v>
      </c>
      <c r="Y54" s="199">
        <f t="shared" si="42"/>
        <v>377</v>
      </c>
      <c r="Z54" s="200">
        <f t="shared" si="43"/>
        <v>516</v>
      </c>
      <c r="AA54" s="193">
        <v>138</v>
      </c>
      <c r="AB54" s="194">
        <v>0</v>
      </c>
      <c r="AC54" s="195">
        <v>124</v>
      </c>
      <c r="AD54" s="201">
        <v>25</v>
      </c>
      <c r="AE54" s="221">
        <v>0</v>
      </c>
      <c r="AF54" s="220">
        <v>0</v>
      </c>
      <c r="AG54" s="199">
        <f t="shared" si="44"/>
        <v>287</v>
      </c>
      <c r="AH54" s="200">
        <f t="shared" si="19"/>
        <v>436</v>
      </c>
      <c r="AI54" s="203">
        <f t="shared" si="37"/>
        <v>664</v>
      </c>
      <c r="AJ54" s="204">
        <f t="shared" si="37"/>
        <v>952</v>
      </c>
      <c r="AK54" s="193"/>
      <c r="AL54" s="194"/>
      <c r="AM54" s="195"/>
      <c r="AN54" s="196"/>
      <c r="AO54" s="219"/>
      <c r="AP54" s="220"/>
      <c r="AQ54" s="205">
        <f t="shared" si="45"/>
        <v>0</v>
      </c>
      <c r="AR54" s="206">
        <f t="shared" si="21"/>
        <v>0</v>
      </c>
      <c r="AS54" s="193"/>
      <c r="AT54" s="194"/>
      <c r="AU54" s="195"/>
      <c r="AV54" s="196"/>
      <c r="AW54" s="219"/>
      <c r="AX54" s="220"/>
      <c r="AY54" s="205">
        <f t="shared" si="30"/>
        <v>0</v>
      </c>
      <c r="AZ54" s="206">
        <f t="shared" si="23"/>
        <v>0</v>
      </c>
      <c r="BA54" s="207">
        <f t="shared" si="38"/>
        <v>0</v>
      </c>
      <c r="BB54" s="204">
        <f t="shared" si="38"/>
        <v>0</v>
      </c>
      <c r="BC54" s="208">
        <f t="shared" si="39"/>
        <v>377</v>
      </c>
      <c r="BD54" s="209">
        <f t="shared" si="39"/>
        <v>516</v>
      </c>
      <c r="BE54" s="210">
        <f t="shared" si="40"/>
        <v>287</v>
      </c>
      <c r="BF54" s="211">
        <f t="shared" si="40"/>
        <v>436</v>
      </c>
      <c r="BG54" s="212">
        <f t="shared" si="41"/>
        <v>664</v>
      </c>
      <c r="BH54" s="213">
        <f t="shared" si="41"/>
        <v>952</v>
      </c>
    </row>
    <row r="55" spans="1:60" ht="21.6" thickBot="1" x14ac:dyDescent="0.35">
      <c r="A55" s="214" t="s">
        <v>172</v>
      </c>
      <c r="B55" s="179">
        <v>6</v>
      </c>
      <c r="C55" s="280">
        <v>17</v>
      </c>
      <c r="D55" s="215" t="s">
        <v>65</v>
      </c>
      <c r="E55" s="182" t="s">
        <v>259</v>
      </c>
      <c r="F55" s="281" t="s">
        <v>243</v>
      </c>
      <c r="G55" s="216" t="s">
        <v>260</v>
      </c>
      <c r="H55" s="217" t="s">
        <v>261</v>
      </c>
      <c r="I55" s="217" t="s">
        <v>262</v>
      </c>
      <c r="J55" s="218" t="s">
        <v>263</v>
      </c>
      <c r="K55" s="223">
        <f t="shared" si="31"/>
        <v>0.42430555555620231</v>
      </c>
      <c r="L55" s="222"/>
      <c r="M55" s="189">
        <f t="shared" si="32"/>
        <v>0.42430555555620231</v>
      </c>
      <c r="N55" s="189">
        <f t="shared" si="33"/>
        <v>0.46875</v>
      </c>
      <c r="O55" s="190">
        <f t="shared" si="34"/>
        <v>57.152209492547911</v>
      </c>
      <c r="P55" s="190">
        <f t="shared" si="35"/>
        <v>57.152209492547911</v>
      </c>
      <c r="Q55" s="191">
        <f t="shared" si="36"/>
        <v>51.733333333333327</v>
      </c>
      <c r="R55" s="192" t="s">
        <v>71</v>
      </c>
      <c r="S55" s="193">
        <v>130</v>
      </c>
      <c r="T55" s="194">
        <v>2</v>
      </c>
      <c r="U55" s="195">
        <v>140</v>
      </c>
      <c r="V55" s="196">
        <v>10</v>
      </c>
      <c r="W55" s="219">
        <v>0</v>
      </c>
      <c r="X55" s="220">
        <v>2</v>
      </c>
      <c r="Y55" s="199">
        <f t="shared" si="42"/>
        <v>284</v>
      </c>
      <c r="Z55" s="200">
        <f t="shared" si="43"/>
        <v>436</v>
      </c>
      <c r="AA55" s="193">
        <v>126</v>
      </c>
      <c r="AB55" s="194">
        <v>6</v>
      </c>
      <c r="AC55" s="195">
        <v>117</v>
      </c>
      <c r="AD55" s="201">
        <v>45</v>
      </c>
      <c r="AE55" s="221">
        <v>0</v>
      </c>
      <c r="AF55" s="220">
        <v>4</v>
      </c>
      <c r="AG55" s="199">
        <f t="shared" si="44"/>
        <v>298</v>
      </c>
      <c r="AH55" s="200">
        <f t="shared" si="19"/>
        <v>464</v>
      </c>
      <c r="AI55" s="203">
        <f t="shared" ref="AI55:AJ72" si="46">Y55+AG55</f>
        <v>582</v>
      </c>
      <c r="AJ55" s="204">
        <f t="shared" si="46"/>
        <v>900</v>
      </c>
      <c r="AK55" s="193"/>
      <c r="AL55" s="194"/>
      <c r="AM55" s="195"/>
      <c r="AN55" s="196"/>
      <c r="AO55" s="219"/>
      <c r="AP55" s="220"/>
      <c r="AQ55" s="205">
        <f t="shared" si="45"/>
        <v>0</v>
      </c>
      <c r="AR55" s="206">
        <f t="shared" si="21"/>
        <v>0</v>
      </c>
      <c r="AS55" s="193"/>
      <c r="AT55" s="194"/>
      <c r="AU55" s="195"/>
      <c r="AV55" s="196"/>
      <c r="AW55" s="219"/>
      <c r="AX55" s="220"/>
      <c r="AY55" s="205">
        <f t="shared" si="30"/>
        <v>0</v>
      </c>
      <c r="AZ55" s="206">
        <f t="shared" si="23"/>
        <v>0</v>
      </c>
      <c r="BA55" s="207">
        <f t="shared" ref="BA55:BB68" si="47">AQ55+AY55</f>
        <v>0</v>
      </c>
      <c r="BB55" s="204">
        <f t="shared" si="47"/>
        <v>0</v>
      </c>
      <c r="BC55" s="208">
        <f t="shared" ref="BC55:BD72" si="48">Y55+AQ55</f>
        <v>284</v>
      </c>
      <c r="BD55" s="209">
        <f t="shared" si="48"/>
        <v>436</v>
      </c>
      <c r="BE55" s="210">
        <f t="shared" ref="BE55:BF72" si="49">AG55+AY55</f>
        <v>298</v>
      </c>
      <c r="BF55" s="211">
        <f t="shared" si="49"/>
        <v>464</v>
      </c>
      <c r="BG55" s="212">
        <f t="shared" ref="BG55:BH72" si="50">BC55+BE55</f>
        <v>582</v>
      </c>
      <c r="BH55" s="213">
        <f t="shared" si="50"/>
        <v>900</v>
      </c>
    </row>
    <row r="56" spans="1:60" ht="21.6" thickBot="1" x14ac:dyDescent="0.35">
      <c r="A56" s="214" t="s">
        <v>172</v>
      </c>
      <c r="B56" s="179">
        <v>9</v>
      </c>
      <c r="C56" s="280">
        <v>18</v>
      </c>
      <c r="D56" s="215" t="s">
        <v>231</v>
      </c>
      <c r="E56" s="182" t="s">
        <v>264</v>
      </c>
      <c r="F56" s="281" t="s">
        <v>157</v>
      </c>
      <c r="G56" s="216" t="s">
        <v>265</v>
      </c>
      <c r="H56" s="217" t="s">
        <v>266</v>
      </c>
      <c r="I56" s="217" t="s">
        <v>267</v>
      </c>
      <c r="J56" s="218" t="s">
        <v>268</v>
      </c>
      <c r="K56" s="223">
        <f>I56-H56</f>
        <v>0.48472222222335404</v>
      </c>
      <c r="L56" s="222">
        <v>0.13888888889050577</v>
      </c>
      <c r="M56" s="189">
        <f t="shared" si="32"/>
        <v>0.34583333333284827</v>
      </c>
      <c r="N56" s="189">
        <f t="shared" si="33"/>
        <v>0.54166666666424135</v>
      </c>
      <c r="O56" s="190">
        <f t="shared" si="34"/>
        <v>44.457831325363564</v>
      </c>
      <c r="P56" s="190">
        <f t="shared" si="35"/>
        <v>31.719197707662328</v>
      </c>
      <c r="Q56" s="191">
        <f t="shared" si="36"/>
        <v>28.384615384742478</v>
      </c>
      <c r="R56" s="192" t="s">
        <v>57</v>
      </c>
      <c r="S56" s="193">
        <v>53</v>
      </c>
      <c r="T56" s="194">
        <v>21</v>
      </c>
      <c r="U56" s="195">
        <v>26</v>
      </c>
      <c r="V56" s="196">
        <v>0</v>
      </c>
      <c r="W56" s="219">
        <v>0</v>
      </c>
      <c r="X56" s="220">
        <v>0</v>
      </c>
      <c r="Y56" s="199">
        <f t="shared" si="42"/>
        <v>100</v>
      </c>
      <c r="Z56" s="200">
        <f t="shared" si="43"/>
        <v>126</v>
      </c>
      <c r="AA56" s="193">
        <v>166</v>
      </c>
      <c r="AB56" s="194">
        <v>1</v>
      </c>
      <c r="AC56" s="195">
        <v>88</v>
      </c>
      <c r="AD56" s="201">
        <v>0</v>
      </c>
      <c r="AE56" s="221">
        <v>0</v>
      </c>
      <c r="AF56" s="220">
        <v>14</v>
      </c>
      <c r="AG56" s="199">
        <f t="shared" si="44"/>
        <v>269</v>
      </c>
      <c r="AH56" s="200">
        <f t="shared" si="19"/>
        <v>371</v>
      </c>
      <c r="AI56" s="203">
        <f t="shared" si="46"/>
        <v>369</v>
      </c>
      <c r="AJ56" s="204">
        <f t="shared" si="46"/>
        <v>497</v>
      </c>
      <c r="AK56" s="193"/>
      <c r="AL56" s="194"/>
      <c r="AM56" s="195"/>
      <c r="AN56" s="196"/>
      <c r="AO56" s="219"/>
      <c r="AP56" s="220"/>
      <c r="AQ56" s="205">
        <f t="shared" si="45"/>
        <v>0</v>
      </c>
      <c r="AR56" s="206">
        <f t="shared" si="21"/>
        <v>0</v>
      </c>
      <c r="AS56" s="193"/>
      <c r="AT56" s="194"/>
      <c r="AU56" s="195"/>
      <c r="AV56" s="196"/>
      <c r="AW56" s="219"/>
      <c r="AX56" s="220"/>
      <c r="AY56" s="205">
        <f t="shared" si="30"/>
        <v>0</v>
      </c>
      <c r="AZ56" s="206">
        <f t="shared" si="23"/>
        <v>0</v>
      </c>
      <c r="BA56" s="207">
        <f t="shared" si="47"/>
        <v>0</v>
      </c>
      <c r="BB56" s="204">
        <f t="shared" si="47"/>
        <v>0</v>
      </c>
      <c r="BC56" s="208">
        <f t="shared" si="48"/>
        <v>100</v>
      </c>
      <c r="BD56" s="209">
        <f t="shared" si="48"/>
        <v>126</v>
      </c>
      <c r="BE56" s="210">
        <f t="shared" si="49"/>
        <v>269</v>
      </c>
      <c r="BF56" s="211">
        <f t="shared" si="49"/>
        <v>371</v>
      </c>
      <c r="BG56" s="212">
        <f t="shared" si="50"/>
        <v>369</v>
      </c>
      <c r="BH56" s="213">
        <f t="shared" si="50"/>
        <v>497</v>
      </c>
    </row>
    <row r="57" spans="1:60" ht="21" hidden="1" customHeight="1" thickBot="1" x14ac:dyDescent="0.35">
      <c r="A57" s="214" t="s">
        <v>172</v>
      </c>
      <c r="B57" s="228"/>
      <c r="C57" s="180"/>
      <c r="D57" s="215"/>
      <c r="E57" s="182"/>
      <c r="F57" s="281"/>
      <c r="G57" s="216"/>
      <c r="H57" s="217"/>
      <c r="I57" s="217"/>
      <c r="J57" s="218"/>
      <c r="K57" s="223">
        <f t="shared" ref="K57:K67" si="51">I57-H57</f>
        <v>0</v>
      </c>
      <c r="L57" s="222"/>
      <c r="M57" s="229"/>
      <c r="N57" s="229">
        <f t="shared" si="33"/>
        <v>0</v>
      </c>
      <c r="O57" s="230"/>
      <c r="P57" s="230"/>
      <c r="Q57" s="231"/>
      <c r="R57" s="192"/>
      <c r="S57" s="193"/>
      <c r="T57" s="194"/>
      <c r="U57" s="195"/>
      <c r="V57" s="196"/>
      <c r="W57" s="219"/>
      <c r="X57" s="220"/>
      <c r="Y57" s="199">
        <f t="shared" si="42"/>
        <v>0</v>
      </c>
      <c r="Z57" s="200">
        <f t="shared" si="43"/>
        <v>0</v>
      </c>
      <c r="AA57" s="193"/>
      <c r="AB57" s="194"/>
      <c r="AC57" s="195"/>
      <c r="AD57" s="201"/>
      <c r="AE57" s="221"/>
      <c r="AF57" s="220"/>
      <c r="AG57" s="199">
        <f t="shared" si="44"/>
        <v>0</v>
      </c>
      <c r="AH57" s="200">
        <f t="shared" si="19"/>
        <v>0</v>
      </c>
      <c r="AI57" s="203">
        <f t="shared" si="46"/>
        <v>0</v>
      </c>
      <c r="AJ57" s="204">
        <f t="shared" si="46"/>
        <v>0</v>
      </c>
      <c r="AK57" s="193"/>
      <c r="AL57" s="194"/>
      <c r="AM57" s="195"/>
      <c r="AN57" s="196"/>
      <c r="AO57" s="219"/>
      <c r="AP57" s="220"/>
      <c r="AQ57" s="205">
        <f t="shared" si="45"/>
        <v>0</v>
      </c>
      <c r="AR57" s="206">
        <f t="shared" si="21"/>
        <v>0</v>
      </c>
      <c r="AS57" s="193"/>
      <c r="AT57" s="194"/>
      <c r="AU57" s="195"/>
      <c r="AV57" s="196"/>
      <c r="AW57" s="219"/>
      <c r="AX57" s="220"/>
      <c r="AY57" s="205">
        <f t="shared" si="30"/>
        <v>0</v>
      </c>
      <c r="AZ57" s="206">
        <f t="shared" si="23"/>
        <v>0</v>
      </c>
      <c r="BA57" s="207">
        <f t="shared" si="47"/>
        <v>0</v>
      </c>
      <c r="BB57" s="204">
        <f t="shared" si="47"/>
        <v>0</v>
      </c>
      <c r="BC57" s="208">
        <f t="shared" si="48"/>
        <v>0</v>
      </c>
      <c r="BD57" s="209">
        <f t="shared" si="48"/>
        <v>0</v>
      </c>
      <c r="BE57" s="210">
        <f t="shared" si="49"/>
        <v>0</v>
      </c>
      <c r="BF57" s="211">
        <f t="shared" si="49"/>
        <v>0</v>
      </c>
      <c r="BG57" s="212">
        <f t="shared" si="50"/>
        <v>0</v>
      </c>
      <c r="BH57" s="213">
        <f t="shared" si="50"/>
        <v>0</v>
      </c>
    </row>
    <row r="58" spans="1:60" ht="21" hidden="1" customHeight="1" thickBot="1" x14ac:dyDescent="0.35">
      <c r="A58" s="214" t="s">
        <v>172</v>
      </c>
      <c r="B58" s="228"/>
      <c r="C58" s="180"/>
      <c r="D58" s="215"/>
      <c r="E58" s="182"/>
      <c r="F58" s="281"/>
      <c r="G58" s="216"/>
      <c r="H58" s="217"/>
      <c r="I58" s="217"/>
      <c r="J58" s="218"/>
      <c r="K58" s="223">
        <f t="shared" si="51"/>
        <v>0</v>
      </c>
      <c r="L58" s="222"/>
      <c r="M58" s="229"/>
      <c r="N58" s="229">
        <f t="shared" si="33"/>
        <v>0</v>
      </c>
      <c r="O58" s="230"/>
      <c r="P58" s="230"/>
      <c r="Q58" s="231"/>
      <c r="R58" s="192"/>
      <c r="S58" s="193"/>
      <c r="T58" s="194"/>
      <c r="U58" s="195"/>
      <c r="V58" s="196"/>
      <c r="W58" s="219"/>
      <c r="X58" s="220"/>
      <c r="Y58" s="199">
        <f t="shared" si="42"/>
        <v>0</v>
      </c>
      <c r="Z58" s="200">
        <f t="shared" si="43"/>
        <v>0</v>
      </c>
      <c r="AA58" s="193"/>
      <c r="AB58" s="194"/>
      <c r="AC58" s="195"/>
      <c r="AD58" s="201"/>
      <c r="AE58" s="221"/>
      <c r="AF58" s="220"/>
      <c r="AG58" s="199">
        <f t="shared" si="44"/>
        <v>0</v>
      </c>
      <c r="AH58" s="200">
        <f t="shared" si="19"/>
        <v>0</v>
      </c>
      <c r="AI58" s="203">
        <f t="shared" si="46"/>
        <v>0</v>
      </c>
      <c r="AJ58" s="204">
        <f t="shared" si="46"/>
        <v>0</v>
      </c>
      <c r="AK58" s="193"/>
      <c r="AL58" s="194"/>
      <c r="AM58" s="195"/>
      <c r="AN58" s="196"/>
      <c r="AO58" s="219"/>
      <c r="AP58" s="220"/>
      <c r="AQ58" s="205">
        <f t="shared" si="45"/>
        <v>0</v>
      </c>
      <c r="AR58" s="206">
        <f t="shared" si="21"/>
        <v>0</v>
      </c>
      <c r="AS58" s="193"/>
      <c r="AT58" s="194"/>
      <c r="AU58" s="195"/>
      <c r="AV58" s="196"/>
      <c r="AW58" s="219"/>
      <c r="AX58" s="220"/>
      <c r="AY58" s="205">
        <f t="shared" si="30"/>
        <v>0</v>
      </c>
      <c r="AZ58" s="206">
        <f t="shared" si="23"/>
        <v>0</v>
      </c>
      <c r="BA58" s="207">
        <f t="shared" si="47"/>
        <v>0</v>
      </c>
      <c r="BB58" s="204">
        <f t="shared" si="47"/>
        <v>0</v>
      </c>
      <c r="BC58" s="208">
        <f t="shared" si="48"/>
        <v>0</v>
      </c>
      <c r="BD58" s="209">
        <f t="shared" si="48"/>
        <v>0</v>
      </c>
      <c r="BE58" s="210">
        <f t="shared" si="49"/>
        <v>0</v>
      </c>
      <c r="BF58" s="211">
        <f t="shared" si="49"/>
        <v>0</v>
      </c>
      <c r="BG58" s="212">
        <f t="shared" si="50"/>
        <v>0</v>
      </c>
      <c r="BH58" s="213">
        <f t="shared" si="50"/>
        <v>0</v>
      </c>
    </row>
    <row r="59" spans="1:60" ht="21" hidden="1" customHeight="1" thickBot="1" x14ac:dyDescent="0.35">
      <c r="A59" s="214" t="s">
        <v>172</v>
      </c>
      <c r="B59" s="228"/>
      <c r="C59" s="180"/>
      <c r="D59" s="215"/>
      <c r="E59" s="182"/>
      <c r="F59" s="183"/>
      <c r="G59" s="216"/>
      <c r="H59" s="217"/>
      <c r="I59" s="217"/>
      <c r="J59" s="218"/>
      <c r="K59" s="223">
        <f t="shared" si="51"/>
        <v>0</v>
      </c>
      <c r="L59" s="222"/>
      <c r="M59" s="229"/>
      <c r="N59" s="229">
        <f t="shared" si="33"/>
        <v>0</v>
      </c>
      <c r="O59" s="230"/>
      <c r="P59" s="230"/>
      <c r="Q59" s="231"/>
      <c r="R59" s="192"/>
      <c r="S59" s="193"/>
      <c r="T59" s="194"/>
      <c r="U59" s="195"/>
      <c r="V59" s="196"/>
      <c r="W59" s="219"/>
      <c r="X59" s="220"/>
      <c r="Y59" s="199">
        <f t="shared" si="42"/>
        <v>0</v>
      </c>
      <c r="Z59" s="200">
        <f t="shared" si="43"/>
        <v>0</v>
      </c>
      <c r="AA59" s="193"/>
      <c r="AB59" s="194"/>
      <c r="AC59" s="195"/>
      <c r="AD59" s="201"/>
      <c r="AE59" s="221"/>
      <c r="AF59" s="220"/>
      <c r="AG59" s="199">
        <f t="shared" si="44"/>
        <v>0</v>
      </c>
      <c r="AH59" s="200">
        <f t="shared" si="19"/>
        <v>0</v>
      </c>
      <c r="AI59" s="203">
        <f t="shared" si="46"/>
        <v>0</v>
      </c>
      <c r="AJ59" s="204">
        <f t="shared" si="46"/>
        <v>0</v>
      </c>
      <c r="AK59" s="193"/>
      <c r="AL59" s="194"/>
      <c r="AM59" s="195"/>
      <c r="AN59" s="196"/>
      <c r="AO59" s="219"/>
      <c r="AP59" s="220"/>
      <c r="AQ59" s="205">
        <f t="shared" si="45"/>
        <v>0</v>
      </c>
      <c r="AR59" s="206">
        <f t="shared" si="21"/>
        <v>0</v>
      </c>
      <c r="AS59" s="193"/>
      <c r="AT59" s="194"/>
      <c r="AU59" s="195"/>
      <c r="AV59" s="196"/>
      <c r="AW59" s="219"/>
      <c r="AX59" s="220"/>
      <c r="AY59" s="205">
        <f t="shared" si="30"/>
        <v>0</v>
      </c>
      <c r="AZ59" s="206">
        <f t="shared" si="23"/>
        <v>0</v>
      </c>
      <c r="BA59" s="207">
        <f t="shared" si="47"/>
        <v>0</v>
      </c>
      <c r="BB59" s="204">
        <f t="shared" si="47"/>
        <v>0</v>
      </c>
      <c r="BC59" s="208">
        <f t="shared" si="48"/>
        <v>0</v>
      </c>
      <c r="BD59" s="209">
        <f t="shared" si="48"/>
        <v>0</v>
      </c>
      <c r="BE59" s="210">
        <f t="shared" si="49"/>
        <v>0</v>
      </c>
      <c r="BF59" s="211">
        <f t="shared" si="49"/>
        <v>0</v>
      </c>
      <c r="BG59" s="212">
        <f t="shared" si="50"/>
        <v>0</v>
      </c>
      <c r="BH59" s="213">
        <f t="shared" si="50"/>
        <v>0</v>
      </c>
    </row>
    <row r="60" spans="1:60" ht="21" hidden="1" customHeight="1" thickBot="1" x14ac:dyDescent="0.35">
      <c r="A60" s="214" t="s">
        <v>172</v>
      </c>
      <c r="B60" s="228"/>
      <c r="C60" s="180"/>
      <c r="D60" s="215"/>
      <c r="E60" s="182"/>
      <c r="F60" s="183"/>
      <c r="G60" s="216"/>
      <c r="H60" s="217"/>
      <c r="I60" s="217"/>
      <c r="J60" s="218"/>
      <c r="K60" s="223">
        <f t="shared" si="51"/>
        <v>0</v>
      </c>
      <c r="L60" s="222"/>
      <c r="M60" s="229"/>
      <c r="N60" s="229">
        <f t="shared" si="33"/>
        <v>0</v>
      </c>
      <c r="O60" s="230"/>
      <c r="P60" s="230"/>
      <c r="Q60" s="231"/>
      <c r="R60" s="192"/>
      <c r="S60" s="193"/>
      <c r="T60" s="194"/>
      <c r="U60" s="195"/>
      <c r="V60" s="196"/>
      <c r="W60" s="219"/>
      <c r="X60" s="220"/>
      <c r="Y60" s="199">
        <f t="shared" si="42"/>
        <v>0</v>
      </c>
      <c r="Z60" s="200">
        <f t="shared" si="43"/>
        <v>0</v>
      </c>
      <c r="AA60" s="193"/>
      <c r="AB60" s="194"/>
      <c r="AC60" s="195"/>
      <c r="AD60" s="201"/>
      <c r="AE60" s="221"/>
      <c r="AF60" s="220"/>
      <c r="AG60" s="199">
        <f t="shared" si="44"/>
        <v>0</v>
      </c>
      <c r="AH60" s="200">
        <f t="shared" si="19"/>
        <v>0</v>
      </c>
      <c r="AI60" s="203">
        <f t="shared" si="46"/>
        <v>0</v>
      </c>
      <c r="AJ60" s="204">
        <f t="shared" si="46"/>
        <v>0</v>
      </c>
      <c r="AK60" s="193"/>
      <c r="AL60" s="194"/>
      <c r="AM60" s="195"/>
      <c r="AN60" s="196"/>
      <c r="AO60" s="219"/>
      <c r="AP60" s="220"/>
      <c r="AQ60" s="205">
        <f t="shared" si="45"/>
        <v>0</v>
      </c>
      <c r="AR60" s="206">
        <f t="shared" si="21"/>
        <v>0</v>
      </c>
      <c r="AS60" s="193"/>
      <c r="AT60" s="194"/>
      <c r="AU60" s="195"/>
      <c r="AV60" s="196"/>
      <c r="AW60" s="219"/>
      <c r="AX60" s="220"/>
      <c r="AY60" s="205">
        <f t="shared" si="30"/>
        <v>0</v>
      </c>
      <c r="AZ60" s="206">
        <f t="shared" si="23"/>
        <v>0</v>
      </c>
      <c r="BA60" s="207">
        <f t="shared" si="47"/>
        <v>0</v>
      </c>
      <c r="BB60" s="204">
        <f t="shared" si="47"/>
        <v>0</v>
      </c>
      <c r="BC60" s="208">
        <f t="shared" si="48"/>
        <v>0</v>
      </c>
      <c r="BD60" s="209">
        <f t="shared" si="48"/>
        <v>0</v>
      </c>
      <c r="BE60" s="210">
        <f t="shared" si="49"/>
        <v>0</v>
      </c>
      <c r="BF60" s="211">
        <f t="shared" si="49"/>
        <v>0</v>
      </c>
      <c r="BG60" s="212">
        <f t="shared" si="50"/>
        <v>0</v>
      </c>
      <c r="BH60" s="213">
        <f t="shared" si="50"/>
        <v>0</v>
      </c>
    </row>
    <row r="61" spans="1:60" ht="21" hidden="1" customHeight="1" thickBot="1" x14ac:dyDescent="0.35">
      <c r="A61" s="214" t="s">
        <v>172</v>
      </c>
      <c r="B61" s="228"/>
      <c r="C61" s="180"/>
      <c r="D61" s="215"/>
      <c r="E61" s="182"/>
      <c r="F61" s="183"/>
      <c r="G61" s="216"/>
      <c r="H61" s="217"/>
      <c r="I61" s="217"/>
      <c r="J61" s="218"/>
      <c r="K61" s="223">
        <f t="shared" si="51"/>
        <v>0</v>
      </c>
      <c r="L61" s="222"/>
      <c r="M61" s="229"/>
      <c r="N61" s="229">
        <f t="shared" si="33"/>
        <v>0</v>
      </c>
      <c r="O61" s="230"/>
      <c r="P61" s="230"/>
      <c r="Q61" s="231"/>
      <c r="R61" s="192"/>
      <c r="S61" s="193"/>
      <c r="T61" s="194"/>
      <c r="U61" s="195"/>
      <c r="V61" s="196"/>
      <c r="W61" s="219"/>
      <c r="X61" s="220"/>
      <c r="Y61" s="199">
        <f t="shared" si="42"/>
        <v>0</v>
      </c>
      <c r="Z61" s="200">
        <f t="shared" si="43"/>
        <v>0</v>
      </c>
      <c r="AA61" s="193"/>
      <c r="AB61" s="194"/>
      <c r="AC61" s="195"/>
      <c r="AD61" s="201"/>
      <c r="AE61" s="221"/>
      <c r="AF61" s="220"/>
      <c r="AG61" s="199">
        <f t="shared" si="44"/>
        <v>0</v>
      </c>
      <c r="AH61" s="200">
        <f t="shared" si="19"/>
        <v>0</v>
      </c>
      <c r="AI61" s="203">
        <f t="shared" si="46"/>
        <v>0</v>
      </c>
      <c r="AJ61" s="204">
        <f t="shared" si="46"/>
        <v>0</v>
      </c>
      <c r="AK61" s="193"/>
      <c r="AL61" s="194"/>
      <c r="AM61" s="195"/>
      <c r="AN61" s="196"/>
      <c r="AO61" s="219"/>
      <c r="AP61" s="220"/>
      <c r="AQ61" s="205">
        <f t="shared" si="45"/>
        <v>0</v>
      </c>
      <c r="AR61" s="206">
        <f t="shared" si="21"/>
        <v>0</v>
      </c>
      <c r="AS61" s="193"/>
      <c r="AT61" s="194"/>
      <c r="AU61" s="195"/>
      <c r="AV61" s="196"/>
      <c r="AW61" s="219"/>
      <c r="AX61" s="220"/>
      <c r="AY61" s="205">
        <f t="shared" si="30"/>
        <v>0</v>
      </c>
      <c r="AZ61" s="206">
        <f t="shared" si="23"/>
        <v>0</v>
      </c>
      <c r="BA61" s="207">
        <f t="shared" si="47"/>
        <v>0</v>
      </c>
      <c r="BB61" s="204">
        <f t="shared" si="47"/>
        <v>0</v>
      </c>
      <c r="BC61" s="208">
        <f t="shared" si="48"/>
        <v>0</v>
      </c>
      <c r="BD61" s="209">
        <f t="shared" si="48"/>
        <v>0</v>
      </c>
      <c r="BE61" s="210">
        <f t="shared" si="49"/>
        <v>0</v>
      </c>
      <c r="BF61" s="211">
        <f t="shared" si="49"/>
        <v>0</v>
      </c>
      <c r="BG61" s="212">
        <f t="shared" si="50"/>
        <v>0</v>
      </c>
      <c r="BH61" s="213">
        <f t="shared" si="50"/>
        <v>0</v>
      </c>
    </row>
    <row r="62" spans="1:60" ht="21" hidden="1" customHeight="1" thickBot="1" x14ac:dyDescent="0.35">
      <c r="A62" s="214" t="s">
        <v>172</v>
      </c>
      <c r="B62" s="228"/>
      <c r="C62" s="180"/>
      <c r="D62" s="215"/>
      <c r="E62" s="182"/>
      <c r="F62" s="183"/>
      <c r="G62" s="216"/>
      <c r="H62" s="217"/>
      <c r="I62" s="217"/>
      <c r="J62" s="218"/>
      <c r="K62" s="223">
        <f t="shared" si="51"/>
        <v>0</v>
      </c>
      <c r="L62" s="222"/>
      <c r="M62" s="229"/>
      <c r="N62" s="229">
        <f t="shared" si="33"/>
        <v>0</v>
      </c>
      <c r="O62" s="230"/>
      <c r="P62" s="230"/>
      <c r="Q62" s="231"/>
      <c r="R62" s="192"/>
      <c r="S62" s="193"/>
      <c r="T62" s="194"/>
      <c r="U62" s="195"/>
      <c r="V62" s="196"/>
      <c r="W62" s="219"/>
      <c r="X62" s="220"/>
      <c r="Y62" s="199">
        <f t="shared" si="42"/>
        <v>0</v>
      </c>
      <c r="Z62" s="200">
        <f t="shared" si="43"/>
        <v>0</v>
      </c>
      <c r="AA62" s="193"/>
      <c r="AB62" s="194"/>
      <c r="AC62" s="195"/>
      <c r="AD62" s="201"/>
      <c r="AE62" s="221"/>
      <c r="AF62" s="220"/>
      <c r="AG62" s="199">
        <f t="shared" si="44"/>
        <v>0</v>
      </c>
      <c r="AH62" s="200">
        <f t="shared" si="19"/>
        <v>0</v>
      </c>
      <c r="AI62" s="203">
        <f t="shared" si="46"/>
        <v>0</v>
      </c>
      <c r="AJ62" s="204">
        <f t="shared" si="46"/>
        <v>0</v>
      </c>
      <c r="AK62" s="193"/>
      <c r="AL62" s="194"/>
      <c r="AM62" s="195"/>
      <c r="AN62" s="196"/>
      <c r="AO62" s="219"/>
      <c r="AP62" s="220"/>
      <c r="AQ62" s="205">
        <f t="shared" si="45"/>
        <v>0</v>
      </c>
      <c r="AR62" s="206">
        <f t="shared" si="21"/>
        <v>0</v>
      </c>
      <c r="AS62" s="193"/>
      <c r="AT62" s="194"/>
      <c r="AU62" s="195"/>
      <c r="AV62" s="196"/>
      <c r="AW62" s="219"/>
      <c r="AX62" s="220"/>
      <c r="AY62" s="205">
        <f t="shared" si="30"/>
        <v>0</v>
      </c>
      <c r="AZ62" s="206">
        <f t="shared" si="23"/>
        <v>0</v>
      </c>
      <c r="BA62" s="207">
        <f t="shared" si="47"/>
        <v>0</v>
      </c>
      <c r="BB62" s="204">
        <f t="shared" si="47"/>
        <v>0</v>
      </c>
      <c r="BC62" s="208">
        <f t="shared" si="48"/>
        <v>0</v>
      </c>
      <c r="BD62" s="209">
        <f t="shared" si="48"/>
        <v>0</v>
      </c>
      <c r="BE62" s="210">
        <f t="shared" si="49"/>
        <v>0</v>
      </c>
      <c r="BF62" s="211">
        <f t="shared" si="49"/>
        <v>0</v>
      </c>
      <c r="BG62" s="212">
        <f t="shared" si="50"/>
        <v>0</v>
      </c>
      <c r="BH62" s="213">
        <f t="shared" si="50"/>
        <v>0</v>
      </c>
    </row>
    <row r="63" spans="1:60" ht="21" hidden="1" customHeight="1" thickBot="1" x14ac:dyDescent="0.35">
      <c r="A63" s="214" t="s">
        <v>172</v>
      </c>
      <c r="B63" s="228"/>
      <c r="C63" s="180"/>
      <c r="D63" s="215"/>
      <c r="E63" s="182"/>
      <c r="F63" s="183"/>
      <c r="G63" s="216"/>
      <c r="H63" s="217"/>
      <c r="I63" s="217"/>
      <c r="J63" s="218"/>
      <c r="K63" s="223">
        <f t="shared" si="51"/>
        <v>0</v>
      </c>
      <c r="L63" s="222"/>
      <c r="M63" s="229"/>
      <c r="N63" s="229">
        <f t="shared" si="33"/>
        <v>0</v>
      </c>
      <c r="O63" s="230"/>
      <c r="P63" s="230"/>
      <c r="Q63" s="231"/>
      <c r="R63" s="192"/>
      <c r="S63" s="193"/>
      <c r="T63" s="194"/>
      <c r="U63" s="195"/>
      <c r="V63" s="196"/>
      <c r="W63" s="232"/>
      <c r="X63" s="233"/>
      <c r="Y63" s="199">
        <f t="shared" si="42"/>
        <v>0</v>
      </c>
      <c r="Z63" s="200">
        <f t="shared" si="43"/>
        <v>0</v>
      </c>
      <c r="AA63" s="193"/>
      <c r="AB63" s="194"/>
      <c r="AC63" s="195"/>
      <c r="AD63" s="201"/>
      <c r="AE63" s="234"/>
      <c r="AF63" s="233"/>
      <c r="AG63" s="199">
        <f t="shared" si="44"/>
        <v>0</v>
      </c>
      <c r="AH63" s="200">
        <f t="shared" si="19"/>
        <v>0</v>
      </c>
      <c r="AI63" s="203">
        <f t="shared" si="46"/>
        <v>0</v>
      </c>
      <c r="AJ63" s="204">
        <f t="shared" si="46"/>
        <v>0</v>
      </c>
      <c r="AK63" s="193"/>
      <c r="AL63" s="194"/>
      <c r="AM63" s="195"/>
      <c r="AN63" s="196"/>
      <c r="AO63" s="232"/>
      <c r="AP63" s="233"/>
      <c r="AQ63" s="205">
        <f t="shared" si="45"/>
        <v>0</v>
      </c>
      <c r="AR63" s="206">
        <f t="shared" si="21"/>
        <v>0</v>
      </c>
      <c r="AS63" s="193"/>
      <c r="AT63" s="194"/>
      <c r="AU63" s="195"/>
      <c r="AV63" s="196"/>
      <c r="AW63" s="232"/>
      <c r="AX63" s="233"/>
      <c r="AY63" s="205">
        <f t="shared" si="30"/>
        <v>0</v>
      </c>
      <c r="AZ63" s="206">
        <f t="shared" si="23"/>
        <v>0</v>
      </c>
      <c r="BA63" s="207">
        <f t="shared" si="47"/>
        <v>0</v>
      </c>
      <c r="BB63" s="204">
        <f t="shared" si="47"/>
        <v>0</v>
      </c>
      <c r="BC63" s="208">
        <f t="shared" si="48"/>
        <v>0</v>
      </c>
      <c r="BD63" s="209">
        <f t="shared" si="48"/>
        <v>0</v>
      </c>
      <c r="BE63" s="210">
        <f t="shared" si="49"/>
        <v>0</v>
      </c>
      <c r="BF63" s="211">
        <f t="shared" si="49"/>
        <v>0</v>
      </c>
      <c r="BG63" s="212">
        <f t="shared" si="50"/>
        <v>0</v>
      </c>
      <c r="BH63" s="213">
        <f t="shared" si="50"/>
        <v>0</v>
      </c>
    </row>
    <row r="64" spans="1:60" ht="21" hidden="1" customHeight="1" thickBot="1" x14ac:dyDescent="0.35">
      <c r="A64" s="214" t="s">
        <v>172</v>
      </c>
      <c r="B64" s="228"/>
      <c r="C64" s="180"/>
      <c r="D64" s="215"/>
      <c r="E64" s="182"/>
      <c r="F64" s="183"/>
      <c r="G64" s="216"/>
      <c r="H64" s="217"/>
      <c r="I64" s="217"/>
      <c r="J64" s="218"/>
      <c r="K64" s="223">
        <f t="shared" si="51"/>
        <v>0</v>
      </c>
      <c r="L64" s="222"/>
      <c r="M64" s="229"/>
      <c r="N64" s="229">
        <f t="shared" si="33"/>
        <v>0</v>
      </c>
      <c r="O64" s="230"/>
      <c r="P64" s="230"/>
      <c r="Q64" s="231"/>
      <c r="R64" s="192"/>
      <c r="S64" s="193"/>
      <c r="T64" s="194"/>
      <c r="U64" s="195"/>
      <c r="V64" s="196"/>
      <c r="W64" s="232"/>
      <c r="X64" s="233"/>
      <c r="Y64" s="199">
        <f t="shared" si="42"/>
        <v>0</v>
      </c>
      <c r="Z64" s="200">
        <f t="shared" si="43"/>
        <v>0</v>
      </c>
      <c r="AA64" s="193"/>
      <c r="AB64" s="194"/>
      <c r="AC64" s="195"/>
      <c r="AD64" s="201"/>
      <c r="AE64" s="234"/>
      <c r="AF64" s="233"/>
      <c r="AG64" s="199">
        <f t="shared" si="44"/>
        <v>0</v>
      </c>
      <c r="AH64" s="200">
        <f t="shared" si="19"/>
        <v>0</v>
      </c>
      <c r="AI64" s="203">
        <f t="shared" si="46"/>
        <v>0</v>
      </c>
      <c r="AJ64" s="204">
        <f t="shared" si="46"/>
        <v>0</v>
      </c>
      <c r="AK64" s="193"/>
      <c r="AL64" s="194"/>
      <c r="AM64" s="195"/>
      <c r="AN64" s="196"/>
      <c r="AO64" s="232"/>
      <c r="AP64" s="233"/>
      <c r="AQ64" s="205">
        <f t="shared" si="45"/>
        <v>0</v>
      </c>
      <c r="AR64" s="206">
        <f t="shared" si="21"/>
        <v>0</v>
      </c>
      <c r="AS64" s="193"/>
      <c r="AT64" s="194"/>
      <c r="AU64" s="195"/>
      <c r="AV64" s="196"/>
      <c r="AW64" s="232"/>
      <c r="AX64" s="233"/>
      <c r="AY64" s="205">
        <f t="shared" si="30"/>
        <v>0</v>
      </c>
      <c r="AZ64" s="206">
        <f t="shared" si="23"/>
        <v>0</v>
      </c>
      <c r="BA64" s="207">
        <f t="shared" si="47"/>
        <v>0</v>
      </c>
      <c r="BB64" s="204">
        <f t="shared" si="47"/>
        <v>0</v>
      </c>
      <c r="BC64" s="208">
        <f t="shared" si="48"/>
        <v>0</v>
      </c>
      <c r="BD64" s="209">
        <f t="shared" si="48"/>
        <v>0</v>
      </c>
      <c r="BE64" s="210">
        <f t="shared" si="49"/>
        <v>0</v>
      </c>
      <c r="BF64" s="211">
        <f t="shared" si="49"/>
        <v>0</v>
      </c>
      <c r="BG64" s="212">
        <f t="shared" si="50"/>
        <v>0</v>
      </c>
      <c r="BH64" s="213">
        <f t="shared" si="50"/>
        <v>0</v>
      </c>
    </row>
    <row r="65" spans="1:61" ht="21" hidden="1" customHeight="1" thickBot="1" x14ac:dyDescent="0.35">
      <c r="A65" s="214" t="s">
        <v>172</v>
      </c>
      <c r="B65" s="228"/>
      <c r="C65" s="180"/>
      <c r="D65" s="215"/>
      <c r="E65" s="182"/>
      <c r="F65" s="183"/>
      <c r="G65" s="216"/>
      <c r="H65" s="217"/>
      <c r="I65" s="217"/>
      <c r="J65" s="218"/>
      <c r="K65" s="223">
        <f t="shared" si="51"/>
        <v>0</v>
      </c>
      <c r="L65" s="222"/>
      <c r="M65" s="229"/>
      <c r="N65" s="229">
        <f t="shared" si="33"/>
        <v>0</v>
      </c>
      <c r="O65" s="230"/>
      <c r="P65" s="230"/>
      <c r="Q65" s="231"/>
      <c r="R65" s="192"/>
      <c r="S65" s="193"/>
      <c r="T65" s="194"/>
      <c r="U65" s="195"/>
      <c r="V65" s="196"/>
      <c r="W65" s="232"/>
      <c r="X65" s="233"/>
      <c r="Y65" s="199">
        <f t="shared" si="42"/>
        <v>0</v>
      </c>
      <c r="Z65" s="200">
        <f t="shared" si="43"/>
        <v>0</v>
      </c>
      <c r="AA65" s="193"/>
      <c r="AB65" s="194"/>
      <c r="AC65" s="195"/>
      <c r="AD65" s="201"/>
      <c r="AE65" s="234"/>
      <c r="AF65" s="233"/>
      <c r="AG65" s="199">
        <f t="shared" si="44"/>
        <v>0</v>
      </c>
      <c r="AH65" s="200">
        <f t="shared" si="19"/>
        <v>0</v>
      </c>
      <c r="AI65" s="203">
        <f t="shared" si="46"/>
        <v>0</v>
      </c>
      <c r="AJ65" s="204">
        <f t="shared" si="46"/>
        <v>0</v>
      </c>
      <c r="AK65" s="193"/>
      <c r="AL65" s="194"/>
      <c r="AM65" s="195"/>
      <c r="AN65" s="196"/>
      <c r="AO65" s="232"/>
      <c r="AP65" s="233"/>
      <c r="AQ65" s="205">
        <f t="shared" si="45"/>
        <v>0</v>
      </c>
      <c r="AR65" s="206">
        <f t="shared" si="21"/>
        <v>0</v>
      </c>
      <c r="AS65" s="193"/>
      <c r="AT65" s="194"/>
      <c r="AU65" s="195"/>
      <c r="AV65" s="196"/>
      <c r="AW65" s="232"/>
      <c r="AX65" s="233"/>
      <c r="AY65" s="205">
        <f t="shared" si="30"/>
        <v>0</v>
      </c>
      <c r="AZ65" s="206">
        <f t="shared" si="23"/>
        <v>0</v>
      </c>
      <c r="BA65" s="207">
        <f t="shared" si="47"/>
        <v>0</v>
      </c>
      <c r="BB65" s="204">
        <f t="shared" si="47"/>
        <v>0</v>
      </c>
      <c r="BC65" s="208">
        <f t="shared" si="48"/>
        <v>0</v>
      </c>
      <c r="BD65" s="209">
        <f t="shared" si="48"/>
        <v>0</v>
      </c>
      <c r="BE65" s="210">
        <f t="shared" si="49"/>
        <v>0</v>
      </c>
      <c r="BF65" s="211">
        <f t="shared" si="49"/>
        <v>0</v>
      </c>
      <c r="BG65" s="212">
        <f t="shared" si="50"/>
        <v>0</v>
      </c>
      <c r="BH65" s="213">
        <f t="shared" si="50"/>
        <v>0</v>
      </c>
    </row>
    <row r="66" spans="1:61" ht="21" hidden="1" customHeight="1" thickBot="1" x14ac:dyDescent="0.35">
      <c r="A66" s="214" t="s">
        <v>172</v>
      </c>
      <c r="B66" s="228"/>
      <c r="C66" s="180"/>
      <c r="D66" s="215"/>
      <c r="E66" s="182"/>
      <c r="F66" s="183"/>
      <c r="G66" s="216"/>
      <c r="H66" s="217"/>
      <c r="I66" s="217"/>
      <c r="J66" s="218"/>
      <c r="K66" s="223">
        <f t="shared" si="51"/>
        <v>0</v>
      </c>
      <c r="L66" s="222"/>
      <c r="M66" s="229"/>
      <c r="N66" s="229">
        <f t="shared" si="33"/>
        <v>0</v>
      </c>
      <c r="O66" s="230"/>
      <c r="P66" s="230"/>
      <c r="Q66" s="231"/>
      <c r="R66" s="192"/>
      <c r="S66" s="193"/>
      <c r="T66" s="194"/>
      <c r="U66" s="195"/>
      <c r="V66" s="196"/>
      <c r="W66" s="232"/>
      <c r="X66" s="233"/>
      <c r="Y66" s="199">
        <f t="shared" si="42"/>
        <v>0</v>
      </c>
      <c r="Z66" s="200">
        <f t="shared" si="43"/>
        <v>0</v>
      </c>
      <c r="AA66" s="193"/>
      <c r="AB66" s="194"/>
      <c r="AC66" s="195"/>
      <c r="AD66" s="201"/>
      <c r="AE66" s="234"/>
      <c r="AF66" s="233"/>
      <c r="AG66" s="199">
        <f t="shared" si="44"/>
        <v>0</v>
      </c>
      <c r="AH66" s="200">
        <f t="shared" si="19"/>
        <v>0</v>
      </c>
      <c r="AI66" s="203">
        <f t="shared" si="46"/>
        <v>0</v>
      </c>
      <c r="AJ66" s="204">
        <f t="shared" si="46"/>
        <v>0</v>
      </c>
      <c r="AK66" s="193"/>
      <c r="AL66" s="194"/>
      <c r="AM66" s="195"/>
      <c r="AN66" s="196"/>
      <c r="AO66" s="232"/>
      <c r="AP66" s="233"/>
      <c r="AQ66" s="205">
        <f t="shared" si="45"/>
        <v>0</v>
      </c>
      <c r="AR66" s="206">
        <f t="shared" si="21"/>
        <v>0</v>
      </c>
      <c r="AS66" s="193"/>
      <c r="AT66" s="194"/>
      <c r="AU66" s="195"/>
      <c r="AV66" s="196"/>
      <c r="AW66" s="232"/>
      <c r="AX66" s="233"/>
      <c r="AY66" s="205">
        <f t="shared" si="30"/>
        <v>0</v>
      </c>
      <c r="AZ66" s="206">
        <f t="shared" si="23"/>
        <v>0</v>
      </c>
      <c r="BA66" s="207">
        <f t="shared" si="47"/>
        <v>0</v>
      </c>
      <c r="BB66" s="204">
        <f t="shared" si="47"/>
        <v>0</v>
      </c>
      <c r="BC66" s="208">
        <f t="shared" si="48"/>
        <v>0</v>
      </c>
      <c r="BD66" s="209">
        <f t="shared" si="48"/>
        <v>0</v>
      </c>
      <c r="BE66" s="210">
        <f t="shared" si="49"/>
        <v>0</v>
      </c>
      <c r="BF66" s="211">
        <f t="shared" si="49"/>
        <v>0</v>
      </c>
      <c r="BG66" s="212">
        <f t="shared" si="50"/>
        <v>0</v>
      </c>
      <c r="BH66" s="213">
        <f t="shared" si="50"/>
        <v>0</v>
      </c>
    </row>
    <row r="67" spans="1:61" ht="21" hidden="1" customHeight="1" thickBot="1" x14ac:dyDescent="0.35">
      <c r="A67" s="235" t="s">
        <v>172</v>
      </c>
      <c r="B67" s="228"/>
      <c r="C67" s="180"/>
      <c r="D67" s="215"/>
      <c r="E67" s="182"/>
      <c r="F67" s="183"/>
      <c r="G67" s="236"/>
      <c r="H67" s="237"/>
      <c r="I67" s="237"/>
      <c r="J67" s="238"/>
      <c r="K67" s="223">
        <f t="shared" si="51"/>
        <v>0</v>
      </c>
      <c r="L67" s="222"/>
      <c r="M67" s="229"/>
      <c r="N67" s="229">
        <f t="shared" si="33"/>
        <v>0</v>
      </c>
      <c r="O67" s="230"/>
      <c r="P67" s="230"/>
      <c r="Q67" s="231"/>
      <c r="R67" s="192"/>
      <c r="S67" s="239"/>
      <c r="T67" s="240"/>
      <c r="U67" s="241"/>
      <c r="V67" s="242"/>
      <c r="W67" s="243"/>
      <c r="X67" s="244"/>
      <c r="Y67" s="245">
        <f t="shared" si="42"/>
        <v>0</v>
      </c>
      <c r="Z67" s="200">
        <f t="shared" si="43"/>
        <v>0</v>
      </c>
      <c r="AA67" s="239"/>
      <c r="AB67" s="240"/>
      <c r="AC67" s="241"/>
      <c r="AD67" s="246"/>
      <c r="AE67" s="247"/>
      <c r="AF67" s="244"/>
      <c r="AG67" s="245">
        <f t="shared" si="44"/>
        <v>0</v>
      </c>
      <c r="AH67" s="200">
        <f t="shared" si="19"/>
        <v>0</v>
      </c>
      <c r="AI67" s="248">
        <f t="shared" si="46"/>
        <v>0</v>
      </c>
      <c r="AJ67" s="249">
        <f t="shared" si="46"/>
        <v>0</v>
      </c>
      <c r="AK67" s="193"/>
      <c r="AL67" s="194"/>
      <c r="AM67" s="195"/>
      <c r="AN67" s="196"/>
      <c r="AO67" s="243"/>
      <c r="AP67" s="244"/>
      <c r="AQ67" s="205">
        <f t="shared" si="45"/>
        <v>0</v>
      </c>
      <c r="AR67" s="206">
        <f t="shared" si="21"/>
        <v>0</v>
      </c>
      <c r="AS67" s="193"/>
      <c r="AT67" s="194"/>
      <c r="AU67" s="195"/>
      <c r="AV67" s="196"/>
      <c r="AW67" s="243"/>
      <c r="AX67" s="244"/>
      <c r="AY67" s="205">
        <f t="shared" si="30"/>
        <v>0</v>
      </c>
      <c r="AZ67" s="206">
        <f t="shared" si="23"/>
        <v>0</v>
      </c>
      <c r="BA67" s="207">
        <f t="shared" si="47"/>
        <v>0</v>
      </c>
      <c r="BB67" s="204">
        <f t="shared" si="47"/>
        <v>0</v>
      </c>
      <c r="BC67" s="208">
        <f t="shared" si="48"/>
        <v>0</v>
      </c>
      <c r="BD67" s="209">
        <f t="shared" si="48"/>
        <v>0</v>
      </c>
      <c r="BE67" s="210">
        <f t="shared" si="49"/>
        <v>0</v>
      </c>
      <c r="BF67" s="211">
        <f t="shared" si="49"/>
        <v>0</v>
      </c>
      <c r="BG67" s="212">
        <f t="shared" si="50"/>
        <v>0</v>
      </c>
      <c r="BH67" s="213">
        <f t="shared" si="50"/>
        <v>0</v>
      </c>
    </row>
    <row r="68" spans="1:61" s="153" customFormat="1" ht="23.4" thickBot="1" x14ac:dyDescent="0.35">
      <c r="A68" s="154" t="s">
        <v>269</v>
      </c>
      <c r="B68" s="250" t="s">
        <v>269</v>
      </c>
      <c r="C68" s="251" t="s">
        <v>2</v>
      </c>
      <c r="D68" s="252" t="s">
        <v>41</v>
      </c>
      <c r="E68" s="253" t="s">
        <v>270</v>
      </c>
      <c r="F68" s="159" t="s">
        <v>5</v>
      </c>
      <c r="G68" s="160" t="s">
        <v>6</v>
      </c>
      <c r="H68" s="161" t="s">
        <v>7</v>
      </c>
      <c r="I68" s="161" t="s">
        <v>8</v>
      </c>
      <c r="J68" s="162" t="s">
        <v>9</v>
      </c>
      <c r="K68" s="163" t="s">
        <v>38</v>
      </c>
      <c r="L68" s="164" t="s">
        <v>38</v>
      </c>
      <c r="M68" s="165" t="s">
        <v>38</v>
      </c>
      <c r="N68" s="166" t="s">
        <v>38</v>
      </c>
      <c r="O68" s="165" t="s">
        <v>39</v>
      </c>
      <c r="P68" s="165" t="s">
        <v>39</v>
      </c>
      <c r="Q68" s="254" t="s">
        <v>39</v>
      </c>
      <c r="R68" s="168" t="s">
        <v>17</v>
      </c>
      <c r="S68" s="169">
        <f t="shared" ref="S68:X68" si="52">SUM(S69:S97)</f>
        <v>3287</v>
      </c>
      <c r="T68" s="170">
        <f t="shared" si="52"/>
        <v>1021</v>
      </c>
      <c r="U68" s="171">
        <f t="shared" si="52"/>
        <v>2878</v>
      </c>
      <c r="V68" s="172">
        <f t="shared" si="52"/>
        <v>455</v>
      </c>
      <c r="W68" s="173">
        <f t="shared" si="52"/>
        <v>0</v>
      </c>
      <c r="X68" s="174">
        <f t="shared" si="52"/>
        <v>69</v>
      </c>
      <c r="Y68" s="169">
        <f>SUM(S68:X68)</f>
        <v>7710</v>
      </c>
      <c r="Z68" s="175">
        <f>Y68+SUM(U68:V68)+X68</f>
        <v>11112</v>
      </c>
      <c r="AA68" s="169">
        <f t="shared" ref="AA68:AF68" si="53">SUM(AA69:AA97)</f>
        <v>3786</v>
      </c>
      <c r="AB68" s="170">
        <f t="shared" si="53"/>
        <v>119</v>
      </c>
      <c r="AC68" s="171">
        <f t="shared" si="53"/>
        <v>2664</v>
      </c>
      <c r="AD68" s="172">
        <f t="shared" si="53"/>
        <v>554</v>
      </c>
      <c r="AE68" s="173">
        <f t="shared" si="53"/>
        <v>0</v>
      </c>
      <c r="AF68" s="174">
        <f t="shared" si="53"/>
        <v>195</v>
      </c>
      <c r="AG68" s="169">
        <f>SUM(AA68:AF68)</f>
        <v>7318</v>
      </c>
      <c r="AH68" s="175">
        <f>AG68+SUM(AC68:AD68)+AF68</f>
        <v>10731</v>
      </c>
      <c r="AI68" s="169">
        <f>Y68+AG68</f>
        <v>15028</v>
      </c>
      <c r="AJ68" s="175">
        <f t="shared" si="46"/>
        <v>21843</v>
      </c>
      <c r="AK68" s="169">
        <f t="shared" ref="AK68:AP68" si="54">SUM(AK69:AK97)</f>
        <v>0</v>
      </c>
      <c r="AL68" s="170">
        <f t="shared" si="54"/>
        <v>0</v>
      </c>
      <c r="AM68" s="171">
        <f t="shared" si="54"/>
        <v>83</v>
      </c>
      <c r="AN68" s="172">
        <f t="shared" si="54"/>
        <v>117</v>
      </c>
      <c r="AO68" s="173">
        <f t="shared" si="54"/>
        <v>0</v>
      </c>
      <c r="AP68" s="174">
        <f t="shared" si="54"/>
        <v>0</v>
      </c>
      <c r="AQ68" s="169">
        <f t="shared" ref="AQ68:AQ75" si="55">SUM(AK68:AP68)</f>
        <v>200</v>
      </c>
      <c r="AR68" s="175">
        <f t="shared" si="21"/>
        <v>400</v>
      </c>
      <c r="AS68" s="169">
        <f t="shared" ref="AS68:AX68" si="56">SUM(AS69:AS97)</f>
        <v>0</v>
      </c>
      <c r="AT68" s="170">
        <f t="shared" si="56"/>
        <v>0</v>
      </c>
      <c r="AU68" s="171">
        <f t="shared" si="56"/>
        <v>83</v>
      </c>
      <c r="AV68" s="172">
        <f t="shared" si="56"/>
        <v>117</v>
      </c>
      <c r="AW68" s="173">
        <f t="shared" si="56"/>
        <v>0</v>
      </c>
      <c r="AX68" s="174">
        <f t="shared" si="56"/>
        <v>0</v>
      </c>
      <c r="AY68" s="169">
        <f>SUM(AS68:AX68)</f>
        <v>200</v>
      </c>
      <c r="AZ68" s="175">
        <f>AY68+SUM(AU68:AV68)+AX68</f>
        <v>400</v>
      </c>
      <c r="BA68" s="169">
        <f>AQ68+AY68</f>
        <v>400</v>
      </c>
      <c r="BB68" s="170">
        <f t="shared" si="47"/>
        <v>800</v>
      </c>
      <c r="BC68" s="169">
        <f>Y68+AQ68</f>
        <v>7910</v>
      </c>
      <c r="BD68" s="170">
        <f t="shared" si="48"/>
        <v>11512</v>
      </c>
      <c r="BE68" s="169">
        <f>AG68+AY68</f>
        <v>7518</v>
      </c>
      <c r="BF68" s="176">
        <f t="shared" si="49"/>
        <v>11131</v>
      </c>
      <c r="BG68" s="169">
        <f>BC68+BE68</f>
        <v>15428</v>
      </c>
      <c r="BH68" s="170">
        <f t="shared" si="50"/>
        <v>22643</v>
      </c>
    </row>
    <row r="69" spans="1:61" ht="21.6" thickBot="1" x14ac:dyDescent="0.35">
      <c r="A69" s="178" t="s">
        <v>269</v>
      </c>
      <c r="B69" s="179">
        <v>1</v>
      </c>
      <c r="C69" s="180">
        <v>1</v>
      </c>
      <c r="D69" s="303" t="s">
        <v>79</v>
      </c>
      <c r="E69" s="304" t="s">
        <v>271</v>
      </c>
      <c r="F69" s="183" t="s">
        <v>243</v>
      </c>
      <c r="G69" s="224" t="s">
        <v>272</v>
      </c>
      <c r="H69" s="225" t="s">
        <v>273</v>
      </c>
      <c r="I69" s="225" t="s">
        <v>274</v>
      </c>
      <c r="J69" s="226" t="s">
        <v>275</v>
      </c>
      <c r="K69" s="187">
        <f t="shared" ref="K69:K97" si="57">I69-H69</f>
        <v>0.44583333333139308</v>
      </c>
      <c r="L69" s="188"/>
      <c r="M69" s="189">
        <f t="shared" ref="M69:M93" si="58">K69-L69</f>
        <v>0.44583333333139308</v>
      </c>
      <c r="N69" s="189">
        <f t="shared" ref="N69:N97" si="59">J69-G69</f>
        <v>0.47916666666424135</v>
      </c>
      <c r="O69" s="190">
        <f t="shared" ref="O69:O93" si="60">BG69/M69/24</f>
        <v>56.635514018938068</v>
      </c>
      <c r="P69" s="190">
        <f t="shared" ref="P69:P93" si="61">BG69/K69/24</f>
        <v>56.635514018938068</v>
      </c>
      <c r="Q69" s="191">
        <f t="shared" ref="Q69:Q93" si="62">BG69/N69/24</f>
        <v>52.695652174179763</v>
      </c>
      <c r="R69" s="227" t="s">
        <v>71</v>
      </c>
      <c r="S69" s="193">
        <v>138</v>
      </c>
      <c r="T69" s="194">
        <v>2</v>
      </c>
      <c r="U69" s="195">
        <v>156</v>
      </c>
      <c r="V69" s="196">
        <v>9</v>
      </c>
      <c r="W69" s="197">
        <v>0</v>
      </c>
      <c r="X69" s="198">
        <v>0</v>
      </c>
      <c r="Y69" s="199">
        <f t="shared" ref="Y69:Y97" si="63">SUM(S69:X69)</f>
        <v>305</v>
      </c>
      <c r="Z69" s="200">
        <f t="shared" ref="Z69:Z97" si="64">Y69+SUM(U69:V69)+X69</f>
        <v>470</v>
      </c>
      <c r="AA69" s="193">
        <v>120</v>
      </c>
      <c r="AB69" s="194">
        <v>6</v>
      </c>
      <c r="AC69" s="195">
        <v>145</v>
      </c>
      <c r="AD69" s="201">
        <v>25</v>
      </c>
      <c r="AE69" s="202">
        <v>0</v>
      </c>
      <c r="AF69" s="198">
        <v>5</v>
      </c>
      <c r="AG69" s="199">
        <f t="shared" ref="AG69:AG97" si="65">SUM(AA69:AF69)</f>
        <v>301</v>
      </c>
      <c r="AH69" s="200">
        <f t="shared" ref="AH69:AH97" si="66">AG69+SUM(AC69:AD69)+AF69</f>
        <v>476</v>
      </c>
      <c r="AI69" s="203">
        <f t="shared" ref="AI69:AJ97" si="67">Y69+AG69</f>
        <v>606</v>
      </c>
      <c r="AJ69" s="204">
        <f t="shared" si="46"/>
        <v>946</v>
      </c>
      <c r="AK69" s="193"/>
      <c r="AL69" s="194"/>
      <c r="AM69" s="195"/>
      <c r="AN69" s="196"/>
      <c r="AO69" s="197"/>
      <c r="AP69" s="198"/>
      <c r="AQ69" s="205">
        <f t="shared" si="55"/>
        <v>0</v>
      </c>
      <c r="AR69" s="206">
        <f t="shared" si="21"/>
        <v>0</v>
      </c>
      <c r="AS69" s="193"/>
      <c r="AT69" s="194"/>
      <c r="AU69" s="195"/>
      <c r="AV69" s="196"/>
      <c r="AW69" s="197"/>
      <c r="AX69" s="198"/>
      <c r="AY69" s="205">
        <f t="shared" ref="AY69:AY94" si="68">SUM(AS69:AX69)</f>
        <v>0</v>
      </c>
      <c r="AZ69" s="206">
        <f t="shared" ref="AZ69:AZ95" si="69">AY69+SUM(AU69:AV69)+AX69</f>
        <v>0</v>
      </c>
      <c r="BA69" s="207">
        <f>AQ69+AY69</f>
        <v>0</v>
      </c>
      <c r="BB69" s="204">
        <f>AR69+AZ69</f>
        <v>0</v>
      </c>
      <c r="BC69" s="208">
        <f t="shared" ref="BC69:BD97" si="70">Y69+AQ69</f>
        <v>305</v>
      </c>
      <c r="BD69" s="209">
        <f t="shared" si="48"/>
        <v>470</v>
      </c>
      <c r="BE69" s="210">
        <f t="shared" ref="BE69:BF97" si="71">AG69+AY69</f>
        <v>301</v>
      </c>
      <c r="BF69" s="211">
        <f t="shared" si="49"/>
        <v>476</v>
      </c>
      <c r="BG69" s="212">
        <f t="shared" ref="BG69:BH97" si="72">BC69+BE69</f>
        <v>606</v>
      </c>
      <c r="BH69" s="213">
        <f t="shared" si="50"/>
        <v>946</v>
      </c>
      <c r="BI69" s="305"/>
    </row>
    <row r="70" spans="1:61" ht="21.6" thickBot="1" x14ac:dyDescent="0.35">
      <c r="A70" s="214" t="s">
        <v>269</v>
      </c>
      <c r="B70" s="179">
        <v>1</v>
      </c>
      <c r="C70" s="180">
        <v>2</v>
      </c>
      <c r="D70" s="215" t="s">
        <v>51</v>
      </c>
      <c r="E70" s="182" t="s">
        <v>276</v>
      </c>
      <c r="F70" s="281" t="s">
        <v>277</v>
      </c>
      <c r="G70" s="216" t="s">
        <v>278</v>
      </c>
      <c r="H70" s="217" t="s">
        <v>279</v>
      </c>
      <c r="I70" s="217" t="s">
        <v>280</v>
      </c>
      <c r="J70" s="218" t="s">
        <v>281</v>
      </c>
      <c r="K70" s="223">
        <f t="shared" si="57"/>
        <v>0.52222222222189885</v>
      </c>
      <c r="L70" s="222"/>
      <c r="M70" s="189">
        <f t="shared" si="58"/>
        <v>0.52222222222189885</v>
      </c>
      <c r="N70" s="189">
        <f t="shared" si="59"/>
        <v>0.56944444444525288</v>
      </c>
      <c r="O70" s="190">
        <f t="shared" si="60"/>
        <v>48.271276595774573</v>
      </c>
      <c r="P70" s="190">
        <f t="shared" si="61"/>
        <v>48.271276595774573</v>
      </c>
      <c r="Q70" s="191">
        <f t="shared" si="62"/>
        <v>44.268292682863979</v>
      </c>
      <c r="R70" s="192" t="s">
        <v>57</v>
      </c>
      <c r="S70" s="193">
        <v>168</v>
      </c>
      <c r="T70" s="194">
        <v>6</v>
      </c>
      <c r="U70" s="195">
        <v>110</v>
      </c>
      <c r="V70" s="196">
        <v>20</v>
      </c>
      <c r="W70" s="219">
        <v>0</v>
      </c>
      <c r="X70" s="220">
        <v>10</v>
      </c>
      <c r="Y70" s="199">
        <f t="shared" si="63"/>
        <v>314</v>
      </c>
      <c r="Z70" s="200">
        <f t="shared" si="64"/>
        <v>454</v>
      </c>
      <c r="AA70" s="193">
        <v>190</v>
      </c>
      <c r="AB70" s="194">
        <v>0</v>
      </c>
      <c r="AC70" s="195">
        <v>87</v>
      </c>
      <c r="AD70" s="201">
        <v>0</v>
      </c>
      <c r="AE70" s="221">
        <v>0</v>
      </c>
      <c r="AF70" s="220">
        <v>14</v>
      </c>
      <c r="AG70" s="199">
        <f t="shared" si="65"/>
        <v>291</v>
      </c>
      <c r="AH70" s="200">
        <f t="shared" si="66"/>
        <v>392</v>
      </c>
      <c r="AI70" s="203">
        <f t="shared" si="67"/>
        <v>605</v>
      </c>
      <c r="AJ70" s="204">
        <f t="shared" si="46"/>
        <v>846</v>
      </c>
      <c r="AK70" s="193"/>
      <c r="AL70" s="194"/>
      <c r="AM70" s="195"/>
      <c r="AN70" s="196"/>
      <c r="AO70" s="219"/>
      <c r="AP70" s="220"/>
      <c r="AQ70" s="205">
        <f t="shared" si="55"/>
        <v>0</v>
      </c>
      <c r="AR70" s="206">
        <f t="shared" si="21"/>
        <v>0</v>
      </c>
      <c r="AS70" s="193"/>
      <c r="AT70" s="194"/>
      <c r="AU70" s="195"/>
      <c r="AV70" s="196"/>
      <c r="AW70" s="219"/>
      <c r="AX70" s="220"/>
      <c r="AY70" s="205">
        <f t="shared" si="68"/>
        <v>0</v>
      </c>
      <c r="AZ70" s="206">
        <f t="shared" si="69"/>
        <v>0</v>
      </c>
      <c r="BA70" s="207">
        <f>AQ70+AY70</f>
        <v>0</v>
      </c>
      <c r="BB70" s="204">
        <f>AR70+AZ70</f>
        <v>0</v>
      </c>
      <c r="BC70" s="208">
        <f t="shared" si="70"/>
        <v>314</v>
      </c>
      <c r="BD70" s="209">
        <f t="shared" si="48"/>
        <v>454</v>
      </c>
      <c r="BE70" s="210">
        <f t="shared" si="71"/>
        <v>291</v>
      </c>
      <c r="BF70" s="211">
        <f t="shared" si="49"/>
        <v>392</v>
      </c>
      <c r="BG70" s="212">
        <f t="shared" si="72"/>
        <v>605</v>
      </c>
      <c r="BH70" s="213">
        <f t="shared" si="50"/>
        <v>846</v>
      </c>
    </row>
    <row r="71" spans="1:61" ht="21.6" thickBot="1" x14ac:dyDescent="0.35">
      <c r="A71" s="214" t="s">
        <v>269</v>
      </c>
      <c r="B71" s="179">
        <v>2</v>
      </c>
      <c r="C71" s="180">
        <v>3</v>
      </c>
      <c r="D71" s="215" t="s">
        <v>58</v>
      </c>
      <c r="E71" s="182" t="s">
        <v>282</v>
      </c>
      <c r="F71" s="281" t="s">
        <v>243</v>
      </c>
      <c r="G71" s="216" t="s">
        <v>283</v>
      </c>
      <c r="H71" s="217" t="s">
        <v>284</v>
      </c>
      <c r="I71" s="217" t="s">
        <v>285</v>
      </c>
      <c r="J71" s="218" t="s">
        <v>286</v>
      </c>
      <c r="K71" s="223">
        <f t="shared" si="57"/>
        <v>0.35972222222335404</v>
      </c>
      <c r="L71" s="222"/>
      <c r="M71" s="189">
        <f t="shared" si="58"/>
        <v>0.35972222222335404</v>
      </c>
      <c r="N71" s="189">
        <f t="shared" si="59"/>
        <v>0.4375</v>
      </c>
      <c r="O71" s="190">
        <f t="shared" si="60"/>
        <v>30.694980694884119</v>
      </c>
      <c r="P71" s="190">
        <f t="shared" si="61"/>
        <v>30.694980694884119</v>
      </c>
      <c r="Q71" s="191">
        <f t="shared" si="62"/>
        <v>25.238095238095237</v>
      </c>
      <c r="R71" s="192" t="s">
        <v>57</v>
      </c>
      <c r="S71" s="193">
        <v>28</v>
      </c>
      <c r="T71" s="194">
        <v>10</v>
      </c>
      <c r="U71" s="195">
        <v>27</v>
      </c>
      <c r="V71" s="196">
        <v>7</v>
      </c>
      <c r="W71" s="219">
        <v>0</v>
      </c>
      <c r="X71" s="220">
        <v>0</v>
      </c>
      <c r="Y71" s="199">
        <f t="shared" si="63"/>
        <v>72</v>
      </c>
      <c r="Z71" s="200">
        <f t="shared" si="64"/>
        <v>106</v>
      </c>
      <c r="AA71" s="193">
        <v>138</v>
      </c>
      <c r="AB71" s="194">
        <v>0</v>
      </c>
      <c r="AC71" s="195">
        <v>55</v>
      </c>
      <c r="AD71" s="201">
        <v>0</v>
      </c>
      <c r="AE71" s="221">
        <v>0</v>
      </c>
      <c r="AF71" s="220">
        <v>0</v>
      </c>
      <c r="AG71" s="199">
        <f t="shared" si="65"/>
        <v>193</v>
      </c>
      <c r="AH71" s="200">
        <f t="shared" si="66"/>
        <v>248</v>
      </c>
      <c r="AI71" s="203">
        <f t="shared" si="67"/>
        <v>265</v>
      </c>
      <c r="AJ71" s="204">
        <f t="shared" si="46"/>
        <v>354</v>
      </c>
      <c r="AK71" s="193"/>
      <c r="AL71" s="194"/>
      <c r="AM71" s="195"/>
      <c r="AN71" s="196"/>
      <c r="AO71" s="219"/>
      <c r="AP71" s="220"/>
      <c r="AQ71" s="205">
        <f t="shared" si="55"/>
        <v>0</v>
      </c>
      <c r="AR71" s="206">
        <f t="shared" si="21"/>
        <v>0</v>
      </c>
      <c r="AS71" s="193"/>
      <c r="AT71" s="194"/>
      <c r="AU71" s="195"/>
      <c r="AV71" s="196"/>
      <c r="AW71" s="219"/>
      <c r="AX71" s="220"/>
      <c r="AY71" s="205">
        <f t="shared" si="68"/>
        <v>0</v>
      </c>
      <c r="AZ71" s="206">
        <f t="shared" si="69"/>
        <v>0</v>
      </c>
      <c r="BA71" s="207">
        <f t="shared" ref="BA71:BB93" si="73">AQ71+AY71</f>
        <v>0</v>
      </c>
      <c r="BB71" s="204">
        <f t="shared" si="73"/>
        <v>0</v>
      </c>
      <c r="BC71" s="208">
        <f t="shared" si="70"/>
        <v>72</v>
      </c>
      <c r="BD71" s="209">
        <f t="shared" si="48"/>
        <v>106</v>
      </c>
      <c r="BE71" s="210">
        <f t="shared" si="71"/>
        <v>193</v>
      </c>
      <c r="BF71" s="211">
        <f t="shared" si="49"/>
        <v>248</v>
      </c>
      <c r="BG71" s="212">
        <f t="shared" si="72"/>
        <v>265</v>
      </c>
      <c r="BH71" s="213">
        <f t="shared" si="50"/>
        <v>354</v>
      </c>
    </row>
    <row r="72" spans="1:61" ht="21.6" thickBot="1" x14ac:dyDescent="0.35">
      <c r="A72" s="214" t="s">
        <v>269</v>
      </c>
      <c r="B72" s="179">
        <v>2</v>
      </c>
      <c r="C72" s="180">
        <v>4</v>
      </c>
      <c r="D72" s="215" t="s">
        <v>65</v>
      </c>
      <c r="E72" s="182" t="s">
        <v>287</v>
      </c>
      <c r="F72" s="281" t="s">
        <v>277</v>
      </c>
      <c r="G72" s="216" t="s">
        <v>288</v>
      </c>
      <c r="H72" s="217" t="s">
        <v>289</v>
      </c>
      <c r="I72" s="217" t="s">
        <v>290</v>
      </c>
      <c r="J72" s="218" t="s">
        <v>291</v>
      </c>
      <c r="K72" s="187">
        <f t="shared" si="57"/>
        <v>0.45138888889050577</v>
      </c>
      <c r="L72" s="188"/>
      <c r="M72" s="189">
        <f t="shared" si="58"/>
        <v>0.45138888889050577</v>
      </c>
      <c r="N72" s="189">
        <f t="shared" si="59"/>
        <v>0.5</v>
      </c>
      <c r="O72" s="190">
        <f t="shared" si="60"/>
        <v>55.292307692109631</v>
      </c>
      <c r="P72" s="190">
        <f t="shared" si="61"/>
        <v>55.292307692109631</v>
      </c>
      <c r="Q72" s="191">
        <f t="shared" si="62"/>
        <v>49.916666666666664</v>
      </c>
      <c r="R72" s="227" t="s">
        <v>71</v>
      </c>
      <c r="S72" s="193">
        <v>133</v>
      </c>
      <c r="T72" s="194">
        <v>0</v>
      </c>
      <c r="U72" s="195">
        <v>164</v>
      </c>
      <c r="V72" s="196">
        <v>6</v>
      </c>
      <c r="W72" s="219">
        <v>0</v>
      </c>
      <c r="X72" s="220">
        <v>2</v>
      </c>
      <c r="Y72" s="199">
        <f t="shared" si="63"/>
        <v>305</v>
      </c>
      <c r="Z72" s="200">
        <f t="shared" si="64"/>
        <v>477</v>
      </c>
      <c r="AA72" s="193">
        <v>123</v>
      </c>
      <c r="AB72" s="194">
        <v>11</v>
      </c>
      <c r="AC72" s="195">
        <v>136</v>
      </c>
      <c r="AD72" s="201">
        <v>20</v>
      </c>
      <c r="AE72" s="221">
        <v>0</v>
      </c>
      <c r="AF72" s="220">
        <v>4</v>
      </c>
      <c r="AG72" s="199">
        <f t="shared" si="65"/>
        <v>294</v>
      </c>
      <c r="AH72" s="200">
        <f t="shared" si="66"/>
        <v>454</v>
      </c>
      <c r="AI72" s="203">
        <f t="shared" si="67"/>
        <v>599</v>
      </c>
      <c r="AJ72" s="204">
        <f t="shared" si="46"/>
        <v>931</v>
      </c>
      <c r="AK72" s="193"/>
      <c r="AL72" s="194"/>
      <c r="AM72" s="195"/>
      <c r="AN72" s="196"/>
      <c r="AO72" s="219"/>
      <c r="AP72" s="220"/>
      <c r="AQ72" s="205">
        <f t="shared" si="55"/>
        <v>0</v>
      </c>
      <c r="AR72" s="206">
        <f t="shared" si="21"/>
        <v>0</v>
      </c>
      <c r="AS72" s="193"/>
      <c r="AT72" s="194"/>
      <c r="AU72" s="195"/>
      <c r="AV72" s="196"/>
      <c r="AW72" s="219"/>
      <c r="AX72" s="220"/>
      <c r="AY72" s="205">
        <f t="shared" si="68"/>
        <v>0</v>
      </c>
      <c r="AZ72" s="206">
        <f t="shared" si="69"/>
        <v>0</v>
      </c>
      <c r="BA72" s="207">
        <f t="shared" si="73"/>
        <v>0</v>
      </c>
      <c r="BB72" s="204">
        <f t="shared" si="73"/>
        <v>0</v>
      </c>
      <c r="BC72" s="208">
        <f t="shared" si="70"/>
        <v>305</v>
      </c>
      <c r="BD72" s="209">
        <f t="shared" si="48"/>
        <v>477</v>
      </c>
      <c r="BE72" s="210">
        <f t="shared" si="71"/>
        <v>294</v>
      </c>
      <c r="BF72" s="211">
        <f t="shared" si="49"/>
        <v>454</v>
      </c>
      <c r="BG72" s="212">
        <f t="shared" si="72"/>
        <v>599</v>
      </c>
      <c r="BH72" s="213">
        <f t="shared" si="50"/>
        <v>931</v>
      </c>
    </row>
    <row r="73" spans="1:61" ht="21.6" thickBot="1" x14ac:dyDescent="0.35">
      <c r="A73" s="214" t="s">
        <v>269</v>
      </c>
      <c r="B73" s="179">
        <v>1</v>
      </c>
      <c r="C73" s="180">
        <v>5</v>
      </c>
      <c r="D73" s="181" t="s">
        <v>43</v>
      </c>
      <c r="E73" s="182" t="s">
        <v>292</v>
      </c>
      <c r="F73" s="281" t="s">
        <v>293</v>
      </c>
      <c r="G73" s="216" t="s">
        <v>294</v>
      </c>
      <c r="H73" s="217" t="s">
        <v>295</v>
      </c>
      <c r="I73" s="217" t="s">
        <v>296</v>
      </c>
      <c r="J73" s="218" t="s">
        <v>297</v>
      </c>
      <c r="K73" s="223">
        <f t="shared" si="57"/>
        <v>0.56527777777955635</v>
      </c>
      <c r="L73" s="222"/>
      <c r="M73" s="189">
        <f t="shared" si="58"/>
        <v>0.56527777777955635</v>
      </c>
      <c r="N73" s="189">
        <f t="shared" si="59"/>
        <v>0.59722222222626442</v>
      </c>
      <c r="O73" s="190">
        <f t="shared" si="60"/>
        <v>52.113022112858147</v>
      </c>
      <c r="P73" s="190">
        <f t="shared" si="61"/>
        <v>52.113022112858147</v>
      </c>
      <c r="Q73" s="191">
        <f t="shared" si="62"/>
        <v>49.325581395014986</v>
      </c>
      <c r="R73" s="192" t="s">
        <v>50</v>
      </c>
      <c r="S73" s="193">
        <v>119</v>
      </c>
      <c r="T73" s="194">
        <v>77</v>
      </c>
      <c r="U73" s="195">
        <v>139</v>
      </c>
      <c r="V73" s="196">
        <v>64</v>
      </c>
      <c r="W73" s="219">
        <v>0</v>
      </c>
      <c r="X73" s="220">
        <v>0</v>
      </c>
      <c r="Y73" s="199">
        <f t="shared" si="63"/>
        <v>399</v>
      </c>
      <c r="Z73" s="200">
        <f t="shared" si="64"/>
        <v>602</v>
      </c>
      <c r="AA73" s="193">
        <v>155</v>
      </c>
      <c r="AB73" s="194">
        <v>9</v>
      </c>
      <c r="AC73" s="195">
        <v>124</v>
      </c>
      <c r="AD73" s="201">
        <v>20</v>
      </c>
      <c r="AE73" s="221">
        <v>0</v>
      </c>
      <c r="AF73" s="220">
        <v>0</v>
      </c>
      <c r="AG73" s="199">
        <f t="shared" si="65"/>
        <v>308</v>
      </c>
      <c r="AH73" s="200">
        <f t="shared" si="66"/>
        <v>452</v>
      </c>
      <c r="AI73" s="203">
        <f t="shared" si="67"/>
        <v>707</v>
      </c>
      <c r="AJ73" s="204">
        <f t="shared" si="67"/>
        <v>1054</v>
      </c>
      <c r="AK73" s="193"/>
      <c r="AL73" s="194"/>
      <c r="AM73" s="195"/>
      <c r="AN73" s="196"/>
      <c r="AO73" s="219"/>
      <c r="AP73" s="220"/>
      <c r="AQ73" s="205">
        <f t="shared" si="55"/>
        <v>0</v>
      </c>
      <c r="AR73" s="206">
        <f t="shared" si="21"/>
        <v>0</v>
      </c>
      <c r="AS73" s="193"/>
      <c r="AT73" s="194"/>
      <c r="AU73" s="195"/>
      <c r="AV73" s="196"/>
      <c r="AW73" s="219"/>
      <c r="AX73" s="220"/>
      <c r="AY73" s="205">
        <f t="shared" si="68"/>
        <v>0</v>
      </c>
      <c r="AZ73" s="206">
        <f t="shared" si="69"/>
        <v>0</v>
      </c>
      <c r="BA73" s="207">
        <f t="shared" si="73"/>
        <v>0</v>
      </c>
      <c r="BB73" s="204">
        <f t="shared" si="73"/>
        <v>0</v>
      </c>
      <c r="BC73" s="208">
        <f t="shared" si="70"/>
        <v>399</v>
      </c>
      <c r="BD73" s="209">
        <f t="shared" si="70"/>
        <v>602</v>
      </c>
      <c r="BE73" s="210">
        <f t="shared" si="71"/>
        <v>308</v>
      </c>
      <c r="BF73" s="211">
        <f t="shared" si="71"/>
        <v>452</v>
      </c>
      <c r="BG73" s="212">
        <f t="shared" si="72"/>
        <v>707</v>
      </c>
      <c r="BH73" s="213">
        <f t="shared" si="72"/>
        <v>1054</v>
      </c>
    </row>
    <row r="74" spans="1:61" ht="21.6" thickBot="1" x14ac:dyDescent="0.35">
      <c r="A74" s="214" t="s">
        <v>269</v>
      </c>
      <c r="B74" s="179">
        <v>3</v>
      </c>
      <c r="C74" s="180">
        <v>6</v>
      </c>
      <c r="D74" s="215" t="s">
        <v>72</v>
      </c>
      <c r="E74" s="182" t="s">
        <v>298</v>
      </c>
      <c r="F74" s="183" t="s">
        <v>157</v>
      </c>
      <c r="G74" s="216" t="s">
        <v>299</v>
      </c>
      <c r="H74" s="217" t="s">
        <v>300</v>
      </c>
      <c r="I74" s="217" t="s">
        <v>301</v>
      </c>
      <c r="J74" s="218" t="s">
        <v>302</v>
      </c>
      <c r="K74" s="223">
        <f t="shared" si="57"/>
        <v>0.67708333333575865</v>
      </c>
      <c r="L74" s="222">
        <v>4.5138888883229811E-2</v>
      </c>
      <c r="M74" s="189">
        <f t="shared" si="58"/>
        <v>0.63194444445252884</v>
      </c>
      <c r="N74" s="189">
        <f t="shared" si="59"/>
        <v>0.74305555555474712</v>
      </c>
      <c r="O74" s="190">
        <f t="shared" si="60"/>
        <v>43.12087912032748</v>
      </c>
      <c r="P74" s="190">
        <f t="shared" si="61"/>
        <v>40.246153846009683</v>
      </c>
      <c r="Q74" s="191">
        <f t="shared" si="62"/>
        <v>36.672897196301584</v>
      </c>
      <c r="R74" s="192" t="s">
        <v>57</v>
      </c>
      <c r="S74" s="193">
        <v>186</v>
      </c>
      <c r="T74" s="194">
        <v>0</v>
      </c>
      <c r="U74" s="195">
        <v>99</v>
      </c>
      <c r="V74" s="196">
        <v>0</v>
      </c>
      <c r="W74" s="219">
        <v>0</v>
      </c>
      <c r="X74" s="220">
        <v>3</v>
      </c>
      <c r="Y74" s="199">
        <f t="shared" si="63"/>
        <v>288</v>
      </c>
      <c r="Z74" s="200">
        <f t="shared" si="64"/>
        <v>390</v>
      </c>
      <c r="AA74" s="193">
        <v>224</v>
      </c>
      <c r="AB74" s="194">
        <v>0</v>
      </c>
      <c r="AC74" s="195">
        <v>124</v>
      </c>
      <c r="AD74" s="201">
        <v>0</v>
      </c>
      <c r="AE74" s="221">
        <v>0</v>
      </c>
      <c r="AF74" s="220">
        <v>18</v>
      </c>
      <c r="AG74" s="199">
        <f t="shared" si="65"/>
        <v>366</v>
      </c>
      <c r="AH74" s="200">
        <f t="shared" si="66"/>
        <v>508</v>
      </c>
      <c r="AI74" s="203">
        <f t="shared" si="67"/>
        <v>654</v>
      </c>
      <c r="AJ74" s="204">
        <f t="shared" si="67"/>
        <v>898</v>
      </c>
      <c r="AK74" s="193"/>
      <c r="AL74" s="194"/>
      <c r="AM74" s="195"/>
      <c r="AN74" s="196"/>
      <c r="AO74" s="219"/>
      <c r="AP74" s="220"/>
      <c r="AQ74" s="205">
        <f t="shared" si="55"/>
        <v>0</v>
      </c>
      <c r="AR74" s="206">
        <f t="shared" ref="AR74:AR130" si="74">AQ74+SUM(AM74:AN74)+AP74</f>
        <v>0</v>
      </c>
      <c r="AS74" s="193"/>
      <c r="AT74" s="194"/>
      <c r="AU74" s="195"/>
      <c r="AV74" s="196"/>
      <c r="AW74" s="219"/>
      <c r="AX74" s="220"/>
      <c r="AY74" s="205">
        <f t="shared" si="68"/>
        <v>0</v>
      </c>
      <c r="AZ74" s="206">
        <f t="shared" si="69"/>
        <v>0</v>
      </c>
      <c r="BA74" s="207">
        <f t="shared" si="73"/>
        <v>0</v>
      </c>
      <c r="BB74" s="204">
        <f t="shared" si="73"/>
        <v>0</v>
      </c>
      <c r="BC74" s="208">
        <f t="shared" si="70"/>
        <v>288</v>
      </c>
      <c r="BD74" s="209">
        <f t="shared" si="70"/>
        <v>390</v>
      </c>
      <c r="BE74" s="210">
        <f t="shared" si="71"/>
        <v>366</v>
      </c>
      <c r="BF74" s="211">
        <f t="shared" si="71"/>
        <v>508</v>
      </c>
      <c r="BG74" s="212">
        <f t="shared" si="72"/>
        <v>654</v>
      </c>
      <c r="BH74" s="213">
        <f t="shared" si="72"/>
        <v>898</v>
      </c>
    </row>
    <row r="75" spans="1:61" ht="21.6" thickBot="1" x14ac:dyDescent="0.35">
      <c r="A75" s="214" t="s">
        <v>269</v>
      </c>
      <c r="B75" s="179">
        <v>4</v>
      </c>
      <c r="C75" s="180">
        <v>7</v>
      </c>
      <c r="D75" s="215" t="s">
        <v>231</v>
      </c>
      <c r="E75" s="182" t="s">
        <v>303</v>
      </c>
      <c r="F75" s="281" t="s">
        <v>184</v>
      </c>
      <c r="G75" s="216" t="s">
        <v>304</v>
      </c>
      <c r="H75" s="217" t="s">
        <v>305</v>
      </c>
      <c r="I75" s="217" t="s">
        <v>306</v>
      </c>
      <c r="J75" s="218" t="s">
        <v>307</v>
      </c>
      <c r="K75" s="223">
        <f t="shared" si="57"/>
        <v>0.48888888888905058</v>
      </c>
      <c r="L75" s="222"/>
      <c r="M75" s="189">
        <f t="shared" si="58"/>
        <v>0.48888888888905058</v>
      </c>
      <c r="N75" s="189">
        <f t="shared" si="59"/>
        <v>0.57638888888322981</v>
      </c>
      <c r="O75" s="190">
        <f t="shared" si="60"/>
        <v>51.477272727255702</v>
      </c>
      <c r="P75" s="190">
        <f t="shared" si="61"/>
        <v>51.477272727255702</v>
      </c>
      <c r="Q75" s="191">
        <f t="shared" si="62"/>
        <v>43.662650602838319</v>
      </c>
      <c r="R75" s="192" t="s">
        <v>57</v>
      </c>
      <c r="S75" s="193">
        <v>162</v>
      </c>
      <c r="T75" s="194">
        <v>55</v>
      </c>
      <c r="U75" s="195">
        <v>78</v>
      </c>
      <c r="V75" s="196">
        <v>30</v>
      </c>
      <c r="W75" s="219">
        <v>0</v>
      </c>
      <c r="X75" s="220">
        <v>7</v>
      </c>
      <c r="Y75" s="199">
        <f t="shared" si="63"/>
        <v>332</v>
      </c>
      <c r="Z75" s="200">
        <f t="shared" si="64"/>
        <v>447</v>
      </c>
      <c r="AA75" s="193">
        <v>172</v>
      </c>
      <c r="AB75" s="194">
        <v>0</v>
      </c>
      <c r="AC75" s="195">
        <v>80</v>
      </c>
      <c r="AD75" s="201">
        <v>6</v>
      </c>
      <c r="AE75" s="221">
        <v>0</v>
      </c>
      <c r="AF75" s="220">
        <v>14</v>
      </c>
      <c r="AG75" s="199">
        <f t="shared" si="65"/>
        <v>272</v>
      </c>
      <c r="AH75" s="200">
        <f t="shared" si="66"/>
        <v>372</v>
      </c>
      <c r="AI75" s="203">
        <f t="shared" si="67"/>
        <v>604</v>
      </c>
      <c r="AJ75" s="204">
        <f t="shared" si="67"/>
        <v>819</v>
      </c>
      <c r="AK75" s="193"/>
      <c r="AL75" s="194"/>
      <c r="AM75" s="195"/>
      <c r="AN75" s="196"/>
      <c r="AO75" s="219"/>
      <c r="AP75" s="220"/>
      <c r="AQ75" s="205">
        <f t="shared" si="55"/>
        <v>0</v>
      </c>
      <c r="AR75" s="206">
        <f t="shared" si="74"/>
        <v>0</v>
      </c>
      <c r="AS75" s="193"/>
      <c r="AT75" s="194"/>
      <c r="AU75" s="195"/>
      <c r="AV75" s="196"/>
      <c r="AW75" s="219"/>
      <c r="AX75" s="220"/>
      <c r="AY75" s="205">
        <f t="shared" si="68"/>
        <v>0</v>
      </c>
      <c r="AZ75" s="206">
        <f t="shared" si="69"/>
        <v>0</v>
      </c>
      <c r="BA75" s="207">
        <f t="shared" si="73"/>
        <v>0</v>
      </c>
      <c r="BB75" s="204">
        <f t="shared" si="73"/>
        <v>0</v>
      </c>
      <c r="BC75" s="208">
        <f t="shared" si="70"/>
        <v>332</v>
      </c>
      <c r="BD75" s="209">
        <f t="shared" si="70"/>
        <v>447</v>
      </c>
      <c r="BE75" s="210">
        <f t="shared" si="71"/>
        <v>272</v>
      </c>
      <c r="BF75" s="211">
        <f t="shared" si="71"/>
        <v>372</v>
      </c>
      <c r="BG75" s="212">
        <f t="shared" si="72"/>
        <v>604</v>
      </c>
      <c r="BH75" s="213">
        <f t="shared" si="72"/>
        <v>819</v>
      </c>
    </row>
    <row r="76" spans="1:61" ht="21.6" thickBot="1" x14ac:dyDescent="0.35">
      <c r="A76" s="214" t="s">
        <v>269</v>
      </c>
      <c r="B76" s="179">
        <v>3</v>
      </c>
      <c r="C76" s="180">
        <v>8</v>
      </c>
      <c r="D76" s="303" t="s">
        <v>79</v>
      </c>
      <c r="E76" s="304" t="s">
        <v>308</v>
      </c>
      <c r="F76" s="183" t="s">
        <v>277</v>
      </c>
      <c r="G76" s="216" t="s">
        <v>309</v>
      </c>
      <c r="H76" s="217" t="s">
        <v>310</v>
      </c>
      <c r="I76" s="217" t="s">
        <v>311</v>
      </c>
      <c r="J76" s="218" t="s">
        <v>312</v>
      </c>
      <c r="K76" s="187">
        <f t="shared" si="57"/>
        <v>0.43472222222044365</v>
      </c>
      <c r="L76" s="188"/>
      <c r="M76" s="189">
        <f t="shared" si="58"/>
        <v>0.43472222222044365</v>
      </c>
      <c r="N76" s="189">
        <f t="shared" si="59"/>
        <v>0.47569444444525288</v>
      </c>
      <c r="O76" s="190">
        <f t="shared" si="60"/>
        <v>58.370607028992801</v>
      </c>
      <c r="P76" s="190">
        <f t="shared" si="61"/>
        <v>58.370607028992801</v>
      </c>
      <c r="Q76" s="191">
        <f t="shared" si="62"/>
        <v>53.343065693340002</v>
      </c>
      <c r="R76" s="227" t="s">
        <v>71</v>
      </c>
      <c r="S76" s="193">
        <v>138</v>
      </c>
      <c r="T76" s="194">
        <v>2</v>
      </c>
      <c r="U76" s="195">
        <v>152</v>
      </c>
      <c r="V76" s="196">
        <v>5</v>
      </c>
      <c r="W76" s="219">
        <v>0</v>
      </c>
      <c r="X76" s="220">
        <v>1</v>
      </c>
      <c r="Y76" s="199">
        <f t="shared" si="63"/>
        <v>298</v>
      </c>
      <c r="Z76" s="200">
        <f t="shared" si="64"/>
        <v>456</v>
      </c>
      <c r="AA76" s="193">
        <v>127</v>
      </c>
      <c r="AB76" s="194">
        <v>10</v>
      </c>
      <c r="AC76" s="195">
        <v>129</v>
      </c>
      <c r="AD76" s="201">
        <v>40</v>
      </c>
      <c r="AE76" s="221">
        <v>0</v>
      </c>
      <c r="AF76" s="220">
        <v>5</v>
      </c>
      <c r="AG76" s="199">
        <f t="shared" si="65"/>
        <v>311</v>
      </c>
      <c r="AH76" s="200">
        <f t="shared" si="66"/>
        <v>485</v>
      </c>
      <c r="AI76" s="203">
        <f t="shared" si="67"/>
        <v>609</v>
      </c>
      <c r="AJ76" s="204">
        <f t="shared" si="67"/>
        <v>941</v>
      </c>
      <c r="AK76" s="193"/>
      <c r="AL76" s="194"/>
      <c r="AM76" s="195"/>
      <c r="AN76" s="196"/>
      <c r="AO76" s="219"/>
      <c r="AP76" s="220"/>
      <c r="AQ76" s="205">
        <f t="shared" ref="AQ76:AQ94" si="75">SUM(AK76:AP76)</f>
        <v>0</v>
      </c>
      <c r="AR76" s="206">
        <f t="shared" si="74"/>
        <v>0</v>
      </c>
      <c r="AS76" s="193"/>
      <c r="AT76" s="194"/>
      <c r="AU76" s="195"/>
      <c r="AV76" s="196"/>
      <c r="AW76" s="219"/>
      <c r="AX76" s="220"/>
      <c r="AY76" s="205">
        <f t="shared" si="68"/>
        <v>0</v>
      </c>
      <c r="AZ76" s="206">
        <f t="shared" si="69"/>
        <v>0</v>
      </c>
      <c r="BA76" s="207">
        <f t="shared" si="73"/>
        <v>0</v>
      </c>
      <c r="BB76" s="204">
        <f t="shared" si="73"/>
        <v>0</v>
      </c>
      <c r="BC76" s="208">
        <f t="shared" si="70"/>
        <v>298</v>
      </c>
      <c r="BD76" s="209">
        <f t="shared" si="70"/>
        <v>456</v>
      </c>
      <c r="BE76" s="210">
        <f t="shared" si="71"/>
        <v>311</v>
      </c>
      <c r="BF76" s="211">
        <f t="shared" si="71"/>
        <v>485</v>
      </c>
      <c r="BG76" s="212">
        <f t="shared" si="72"/>
        <v>609</v>
      </c>
      <c r="BH76" s="213">
        <f t="shared" si="72"/>
        <v>941</v>
      </c>
    </row>
    <row r="77" spans="1:61" ht="21.6" thickBot="1" x14ac:dyDescent="0.35">
      <c r="A77" s="214" t="s">
        <v>269</v>
      </c>
      <c r="B77" s="179">
        <v>5</v>
      </c>
      <c r="C77" s="180">
        <v>9</v>
      </c>
      <c r="D77" s="215" t="s">
        <v>51</v>
      </c>
      <c r="E77" s="182" t="s">
        <v>313</v>
      </c>
      <c r="F77" s="281" t="s">
        <v>314</v>
      </c>
      <c r="G77" s="216" t="s">
        <v>315</v>
      </c>
      <c r="H77" s="217" t="s">
        <v>316</v>
      </c>
      <c r="I77" s="217" t="s">
        <v>317</v>
      </c>
      <c r="J77" s="218" t="s">
        <v>318</v>
      </c>
      <c r="K77" s="223">
        <f t="shared" si="57"/>
        <v>0.51111111111094942</v>
      </c>
      <c r="L77" s="222"/>
      <c r="M77" s="189">
        <f t="shared" si="58"/>
        <v>0.51111111111094942</v>
      </c>
      <c r="N77" s="189">
        <f t="shared" si="59"/>
        <v>0.57986111110949423</v>
      </c>
      <c r="O77" s="190">
        <f t="shared" si="60"/>
        <v>53.07065217392983</v>
      </c>
      <c r="P77" s="190">
        <f t="shared" si="61"/>
        <v>53.07065217392983</v>
      </c>
      <c r="Q77" s="191">
        <f t="shared" si="62"/>
        <v>46.778443113902888</v>
      </c>
      <c r="R77" s="192" t="s">
        <v>57</v>
      </c>
      <c r="S77" s="193">
        <v>154</v>
      </c>
      <c r="T77" s="194">
        <v>110</v>
      </c>
      <c r="U77" s="195">
        <v>92</v>
      </c>
      <c r="V77" s="196">
        <v>0</v>
      </c>
      <c r="W77" s="219">
        <v>0</v>
      </c>
      <c r="X77" s="220">
        <v>8</v>
      </c>
      <c r="Y77" s="199">
        <f t="shared" si="63"/>
        <v>364</v>
      </c>
      <c r="Z77" s="200">
        <f t="shared" si="64"/>
        <v>464</v>
      </c>
      <c r="AA77" s="193">
        <v>155</v>
      </c>
      <c r="AB77" s="194">
        <v>0</v>
      </c>
      <c r="AC77" s="195">
        <v>104</v>
      </c>
      <c r="AD77" s="201">
        <v>9</v>
      </c>
      <c r="AE77" s="221">
        <v>0</v>
      </c>
      <c r="AF77" s="220">
        <v>19</v>
      </c>
      <c r="AG77" s="199">
        <f t="shared" si="65"/>
        <v>287</v>
      </c>
      <c r="AH77" s="200">
        <f t="shared" si="66"/>
        <v>419</v>
      </c>
      <c r="AI77" s="203">
        <f t="shared" si="67"/>
        <v>651</v>
      </c>
      <c r="AJ77" s="204">
        <f t="shared" si="67"/>
        <v>883</v>
      </c>
      <c r="AK77" s="193"/>
      <c r="AL77" s="194"/>
      <c r="AM77" s="195"/>
      <c r="AN77" s="196"/>
      <c r="AO77" s="219"/>
      <c r="AP77" s="220"/>
      <c r="AQ77" s="205">
        <f t="shared" si="75"/>
        <v>0</v>
      </c>
      <c r="AR77" s="206">
        <f t="shared" si="74"/>
        <v>0</v>
      </c>
      <c r="AS77" s="193"/>
      <c r="AT77" s="194"/>
      <c r="AU77" s="195"/>
      <c r="AV77" s="196"/>
      <c r="AW77" s="219"/>
      <c r="AX77" s="220"/>
      <c r="AY77" s="205">
        <f t="shared" si="68"/>
        <v>0</v>
      </c>
      <c r="AZ77" s="206">
        <f t="shared" si="69"/>
        <v>0</v>
      </c>
      <c r="BA77" s="207">
        <f t="shared" si="73"/>
        <v>0</v>
      </c>
      <c r="BB77" s="204">
        <f t="shared" si="73"/>
        <v>0</v>
      </c>
      <c r="BC77" s="208">
        <f t="shared" si="70"/>
        <v>364</v>
      </c>
      <c r="BD77" s="209">
        <f t="shared" si="70"/>
        <v>464</v>
      </c>
      <c r="BE77" s="210">
        <f t="shared" si="71"/>
        <v>287</v>
      </c>
      <c r="BF77" s="211">
        <f t="shared" si="71"/>
        <v>419</v>
      </c>
      <c r="BG77" s="212">
        <f t="shared" si="72"/>
        <v>651</v>
      </c>
      <c r="BH77" s="213">
        <f t="shared" si="72"/>
        <v>883</v>
      </c>
    </row>
    <row r="78" spans="1:61" ht="21.6" thickBot="1" x14ac:dyDescent="0.35">
      <c r="A78" s="214" t="s">
        <v>269</v>
      </c>
      <c r="B78" s="179">
        <v>6</v>
      </c>
      <c r="C78" s="180">
        <v>10</v>
      </c>
      <c r="D78" s="215" t="s">
        <v>58</v>
      </c>
      <c r="E78" s="182" t="s">
        <v>319</v>
      </c>
      <c r="F78" s="281" t="s">
        <v>277</v>
      </c>
      <c r="G78" s="216" t="s">
        <v>320</v>
      </c>
      <c r="H78" s="217" t="s">
        <v>321</v>
      </c>
      <c r="I78" s="217" t="s">
        <v>322</v>
      </c>
      <c r="J78" s="218" t="s">
        <v>323</v>
      </c>
      <c r="K78" s="223">
        <f t="shared" si="57"/>
        <v>0.76041666667151731</v>
      </c>
      <c r="L78" s="222">
        <v>0.30555555555474712</v>
      </c>
      <c r="M78" s="189">
        <f t="shared" si="58"/>
        <v>0.45486111111677019</v>
      </c>
      <c r="N78" s="189">
        <f t="shared" si="59"/>
        <v>1.0277777777810115</v>
      </c>
      <c r="O78" s="190">
        <f t="shared" si="60"/>
        <v>50.656488548988087</v>
      </c>
      <c r="P78" s="190">
        <f t="shared" si="61"/>
        <v>30.301369862820408</v>
      </c>
      <c r="Q78" s="191">
        <f t="shared" si="62"/>
        <v>22.41891891884838</v>
      </c>
      <c r="R78" s="192" t="s">
        <v>57</v>
      </c>
      <c r="S78" s="193">
        <v>54</v>
      </c>
      <c r="T78" s="194">
        <v>67</v>
      </c>
      <c r="U78" s="195">
        <v>54</v>
      </c>
      <c r="V78" s="196">
        <v>4</v>
      </c>
      <c r="W78" s="219">
        <v>0</v>
      </c>
      <c r="X78" s="220">
        <v>0</v>
      </c>
      <c r="Y78" s="199">
        <f t="shared" si="63"/>
        <v>179</v>
      </c>
      <c r="Z78" s="200">
        <f t="shared" si="64"/>
        <v>237</v>
      </c>
      <c r="AA78" s="193">
        <v>117</v>
      </c>
      <c r="AB78" s="194">
        <v>0</v>
      </c>
      <c r="AC78" s="195">
        <v>103</v>
      </c>
      <c r="AD78" s="201">
        <v>0</v>
      </c>
      <c r="AE78" s="221">
        <v>0</v>
      </c>
      <c r="AF78" s="220">
        <v>0</v>
      </c>
      <c r="AG78" s="199">
        <f t="shared" si="65"/>
        <v>220</v>
      </c>
      <c r="AH78" s="200">
        <f t="shared" si="66"/>
        <v>323</v>
      </c>
      <c r="AI78" s="203">
        <f t="shared" si="67"/>
        <v>399</v>
      </c>
      <c r="AJ78" s="204">
        <f t="shared" si="67"/>
        <v>560</v>
      </c>
      <c r="AK78" s="193">
        <v>0</v>
      </c>
      <c r="AL78" s="194">
        <v>0</v>
      </c>
      <c r="AM78" s="195">
        <v>27</v>
      </c>
      <c r="AN78" s="196">
        <v>50</v>
      </c>
      <c r="AO78" s="219">
        <v>0</v>
      </c>
      <c r="AP78" s="220">
        <v>0</v>
      </c>
      <c r="AQ78" s="205">
        <f t="shared" si="75"/>
        <v>77</v>
      </c>
      <c r="AR78" s="206">
        <f t="shared" si="74"/>
        <v>154</v>
      </c>
      <c r="AS78" s="193">
        <v>0</v>
      </c>
      <c r="AT78" s="194">
        <v>0</v>
      </c>
      <c r="AU78" s="195">
        <v>27</v>
      </c>
      <c r="AV78" s="196">
        <v>50</v>
      </c>
      <c r="AW78" s="219">
        <v>0</v>
      </c>
      <c r="AX78" s="220">
        <v>0</v>
      </c>
      <c r="AY78" s="205">
        <f t="shared" si="68"/>
        <v>77</v>
      </c>
      <c r="AZ78" s="206">
        <f t="shared" si="69"/>
        <v>154</v>
      </c>
      <c r="BA78" s="207">
        <f t="shared" si="73"/>
        <v>154</v>
      </c>
      <c r="BB78" s="204">
        <f t="shared" si="73"/>
        <v>308</v>
      </c>
      <c r="BC78" s="208">
        <f t="shared" si="70"/>
        <v>256</v>
      </c>
      <c r="BD78" s="209">
        <f t="shared" si="70"/>
        <v>391</v>
      </c>
      <c r="BE78" s="210">
        <f t="shared" si="71"/>
        <v>297</v>
      </c>
      <c r="BF78" s="211">
        <f t="shared" si="71"/>
        <v>477</v>
      </c>
      <c r="BG78" s="212">
        <f t="shared" si="72"/>
        <v>553</v>
      </c>
      <c r="BH78" s="213">
        <f t="shared" si="72"/>
        <v>868</v>
      </c>
    </row>
    <row r="79" spans="1:61" ht="21.6" thickBot="1" x14ac:dyDescent="0.35">
      <c r="A79" s="214" t="s">
        <v>269</v>
      </c>
      <c r="B79" s="179">
        <v>4</v>
      </c>
      <c r="C79" s="180">
        <v>11</v>
      </c>
      <c r="D79" s="215" t="s">
        <v>65</v>
      </c>
      <c r="E79" s="182" t="s">
        <v>324</v>
      </c>
      <c r="F79" s="281" t="s">
        <v>314</v>
      </c>
      <c r="G79" s="216" t="s">
        <v>325</v>
      </c>
      <c r="H79" s="217" t="s">
        <v>326</v>
      </c>
      <c r="I79" s="217" t="s">
        <v>327</v>
      </c>
      <c r="J79" s="218" t="s">
        <v>328</v>
      </c>
      <c r="K79" s="187">
        <f t="shared" si="57"/>
        <v>0.46597222222044365</v>
      </c>
      <c r="L79" s="188"/>
      <c r="M79" s="189">
        <f t="shared" si="58"/>
        <v>0.46597222222044365</v>
      </c>
      <c r="N79" s="189">
        <f t="shared" si="59"/>
        <v>0.50347222221898846</v>
      </c>
      <c r="O79" s="190">
        <f t="shared" si="60"/>
        <v>53.561847988281933</v>
      </c>
      <c r="P79" s="190">
        <f t="shared" si="61"/>
        <v>53.561847988281933</v>
      </c>
      <c r="Q79" s="191">
        <f t="shared" si="62"/>
        <v>49.572413793421845</v>
      </c>
      <c r="R79" s="227" t="s">
        <v>71</v>
      </c>
      <c r="S79" s="193">
        <v>130</v>
      </c>
      <c r="T79" s="194">
        <v>3</v>
      </c>
      <c r="U79" s="195">
        <v>152</v>
      </c>
      <c r="V79" s="196">
        <v>4</v>
      </c>
      <c r="W79" s="219">
        <v>0</v>
      </c>
      <c r="X79" s="220">
        <v>5</v>
      </c>
      <c r="Y79" s="199">
        <f t="shared" si="63"/>
        <v>294</v>
      </c>
      <c r="Z79" s="200">
        <f t="shared" si="64"/>
        <v>455</v>
      </c>
      <c r="AA79" s="193">
        <v>128</v>
      </c>
      <c r="AB79" s="194">
        <v>11</v>
      </c>
      <c r="AC79" s="195">
        <v>119</v>
      </c>
      <c r="AD79" s="201">
        <v>43</v>
      </c>
      <c r="AE79" s="221">
        <v>0</v>
      </c>
      <c r="AF79" s="220">
        <v>4</v>
      </c>
      <c r="AG79" s="199">
        <f t="shared" si="65"/>
        <v>305</v>
      </c>
      <c r="AH79" s="200">
        <f t="shared" si="66"/>
        <v>471</v>
      </c>
      <c r="AI79" s="203">
        <f t="shared" si="67"/>
        <v>599</v>
      </c>
      <c r="AJ79" s="204">
        <f t="shared" si="67"/>
        <v>926</v>
      </c>
      <c r="AK79" s="193"/>
      <c r="AL79" s="194"/>
      <c r="AM79" s="195"/>
      <c r="AN79" s="196"/>
      <c r="AO79" s="219"/>
      <c r="AP79" s="220"/>
      <c r="AQ79" s="205">
        <f t="shared" si="75"/>
        <v>0</v>
      </c>
      <c r="AR79" s="206">
        <f t="shared" si="74"/>
        <v>0</v>
      </c>
      <c r="AS79" s="193"/>
      <c r="AT79" s="194"/>
      <c r="AU79" s="195"/>
      <c r="AV79" s="196"/>
      <c r="AW79" s="219"/>
      <c r="AX79" s="220"/>
      <c r="AY79" s="205">
        <f t="shared" si="68"/>
        <v>0</v>
      </c>
      <c r="AZ79" s="206">
        <f t="shared" si="69"/>
        <v>0</v>
      </c>
      <c r="BA79" s="207">
        <f t="shared" si="73"/>
        <v>0</v>
      </c>
      <c r="BB79" s="204">
        <f t="shared" si="73"/>
        <v>0</v>
      </c>
      <c r="BC79" s="208">
        <f t="shared" si="70"/>
        <v>294</v>
      </c>
      <c r="BD79" s="209">
        <f t="shared" si="70"/>
        <v>455</v>
      </c>
      <c r="BE79" s="210">
        <f t="shared" si="71"/>
        <v>305</v>
      </c>
      <c r="BF79" s="211">
        <f t="shared" si="71"/>
        <v>471</v>
      </c>
      <c r="BG79" s="212">
        <f t="shared" si="72"/>
        <v>599</v>
      </c>
      <c r="BH79" s="213">
        <f t="shared" si="72"/>
        <v>926</v>
      </c>
    </row>
    <row r="80" spans="1:61" ht="21.6" thickBot="1" x14ac:dyDescent="0.35">
      <c r="A80" s="214" t="s">
        <v>269</v>
      </c>
      <c r="B80" s="179">
        <v>2</v>
      </c>
      <c r="C80" s="180">
        <v>12</v>
      </c>
      <c r="D80" s="181" t="s">
        <v>43</v>
      </c>
      <c r="E80" s="182" t="s">
        <v>329</v>
      </c>
      <c r="F80" s="281" t="s">
        <v>330</v>
      </c>
      <c r="G80" s="216" t="s">
        <v>331</v>
      </c>
      <c r="H80" s="217" t="s">
        <v>332</v>
      </c>
      <c r="I80" s="217" t="s">
        <v>333</v>
      </c>
      <c r="J80" s="218" t="s">
        <v>334</v>
      </c>
      <c r="K80" s="187">
        <f t="shared" si="57"/>
        <v>0.55416666666860692</v>
      </c>
      <c r="L80" s="188"/>
      <c r="M80" s="189">
        <f t="shared" si="58"/>
        <v>0.55416666666860692</v>
      </c>
      <c r="N80" s="189">
        <f t="shared" si="59"/>
        <v>0.70138888889050577</v>
      </c>
      <c r="O80" s="190">
        <f t="shared" si="60"/>
        <v>48.872180450956705</v>
      </c>
      <c r="P80" s="190">
        <f t="shared" si="61"/>
        <v>48.872180450956705</v>
      </c>
      <c r="Q80" s="191">
        <f t="shared" si="62"/>
        <v>38.613861386049599</v>
      </c>
      <c r="R80" s="192" t="s">
        <v>50</v>
      </c>
      <c r="S80" s="193">
        <v>119</v>
      </c>
      <c r="T80" s="194">
        <v>77</v>
      </c>
      <c r="U80" s="195">
        <v>150</v>
      </c>
      <c r="V80" s="196">
        <v>33</v>
      </c>
      <c r="W80" s="219">
        <v>0</v>
      </c>
      <c r="X80" s="220">
        <v>0</v>
      </c>
      <c r="Y80" s="199">
        <f t="shared" si="63"/>
        <v>379</v>
      </c>
      <c r="Z80" s="200">
        <f t="shared" si="64"/>
        <v>562</v>
      </c>
      <c r="AA80" s="193">
        <v>147</v>
      </c>
      <c r="AB80" s="194">
        <v>0</v>
      </c>
      <c r="AC80" s="195">
        <v>124</v>
      </c>
      <c r="AD80" s="201">
        <v>0</v>
      </c>
      <c r="AE80" s="221">
        <v>0</v>
      </c>
      <c r="AF80" s="220">
        <v>0</v>
      </c>
      <c r="AG80" s="199">
        <f t="shared" si="65"/>
        <v>271</v>
      </c>
      <c r="AH80" s="200">
        <f t="shared" si="66"/>
        <v>395</v>
      </c>
      <c r="AI80" s="203">
        <f t="shared" si="67"/>
        <v>650</v>
      </c>
      <c r="AJ80" s="204">
        <f t="shared" si="67"/>
        <v>957</v>
      </c>
      <c r="AK80" s="193"/>
      <c r="AL80" s="194"/>
      <c r="AM80" s="195"/>
      <c r="AN80" s="196"/>
      <c r="AO80" s="219"/>
      <c r="AP80" s="220"/>
      <c r="AQ80" s="205">
        <f t="shared" si="75"/>
        <v>0</v>
      </c>
      <c r="AR80" s="206">
        <f t="shared" si="74"/>
        <v>0</v>
      </c>
      <c r="AS80" s="193"/>
      <c r="AT80" s="194"/>
      <c r="AU80" s="195"/>
      <c r="AV80" s="196"/>
      <c r="AW80" s="219"/>
      <c r="AX80" s="220"/>
      <c r="AY80" s="205">
        <f t="shared" si="68"/>
        <v>0</v>
      </c>
      <c r="AZ80" s="206">
        <f t="shared" si="69"/>
        <v>0</v>
      </c>
      <c r="BA80" s="207">
        <f t="shared" si="73"/>
        <v>0</v>
      </c>
      <c r="BB80" s="204">
        <f t="shared" si="73"/>
        <v>0</v>
      </c>
      <c r="BC80" s="208">
        <f t="shared" si="70"/>
        <v>379</v>
      </c>
      <c r="BD80" s="209">
        <f t="shared" si="70"/>
        <v>562</v>
      </c>
      <c r="BE80" s="210">
        <f t="shared" si="71"/>
        <v>271</v>
      </c>
      <c r="BF80" s="211">
        <f t="shared" si="71"/>
        <v>395</v>
      </c>
      <c r="BG80" s="212">
        <f t="shared" si="72"/>
        <v>650</v>
      </c>
      <c r="BH80" s="213">
        <f t="shared" si="72"/>
        <v>957</v>
      </c>
    </row>
    <row r="81" spans="1:60" ht="21.6" thickBot="1" x14ac:dyDescent="0.35">
      <c r="A81" s="214" t="s">
        <v>269</v>
      </c>
      <c r="B81" s="179">
        <v>7</v>
      </c>
      <c r="C81" s="180">
        <v>13</v>
      </c>
      <c r="D81" s="215" t="s">
        <v>72</v>
      </c>
      <c r="E81" s="182" t="s">
        <v>335</v>
      </c>
      <c r="F81" s="183" t="s">
        <v>184</v>
      </c>
      <c r="G81" s="216" t="s">
        <v>336</v>
      </c>
      <c r="H81" s="217" t="s">
        <v>337</v>
      </c>
      <c r="I81" s="217" t="s">
        <v>338</v>
      </c>
      <c r="J81" s="218" t="s">
        <v>339</v>
      </c>
      <c r="K81" s="187">
        <f t="shared" si="57"/>
        <v>0.59236111111385981</v>
      </c>
      <c r="L81" s="188"/>
      <c r="M81" s="189">
        <f t="shared" si="58"/>
        <v>0.59236111111385981</v>
      </c>
      <c r="N81" s="189">
        <f t="shared" si="59"/>
        <v>0.66666666666424135</v>
      </c>
      <c r="O81" s="190">
        <f t="shared" si="60"/>
        <v>51.348182883700765</v>
      </c>
      <c r="P81" s="190">
        <f t="shared" si="61"/>
        <v>51.348182883700765</v>
      </c>
      <c r="Q81" s="191">
        <f t="shared" si="62"/>
        <v>45.625000000165983</v>
      </c>
      <c r="R81" s="192" t="s">
        <v>57</v>
      </c>
      <c r="S81" s="193">
        <v>148</v>
      </c>
      <c r="T81" s="194">
        <v>9</v>
      </c>
      <c r="U81" s="195">
        <v>95</v>
      </c>
      <c r="V81" s="196">
        <v>70</v>
      </c>
      <c r="W81" s="219">
        <v>0</v>
      </c>
      <c r="X81" s="220">
        <v>3</v>
      </c>
      <c r="Y81" s="199">
        <f t="shared" si="63"/>
        <v>325</v>
      </c>
      <c r="Z81" s="200">
        <f t="shared" si="64"/>
        <v>493</v>
      </c>
      <c r="AA81" s="193">
        <v>250</v>
      </c>
      <c r="AB81" s="194">
        <v>0</v>
      </c>
      <c r="AC81" s="195">
        <v>123</v>
      </c>
      <c r="AD81" s="201">
        <v>21</v>
      </c>
      <c r="AE81" s="221">
        <v>0</v>
      </c>
      <c r="AF81" s="220">
        <v>9</v>
      </c>
      <c r="AG81" s="199">
        <f t="shared" si="65"/>
        <v>403</v>
      </c>
      <c r="AH81" s="200">
        <f t="shared" si="66"/>
        <v>556</v>
      </c>
      <c r="AI81" s="203">
        <f t="shared" si="67"/>
        <v>728</v>
      </c>
      <c r="AJ81" s="204">
        <f t="shared" si="67"/>
        <v>1049</v>
      </c>
      <c r="AK81" s="193">
        <v>0</v>
      </c>
      <c r="AL81" s="194">
        <v>0</v>
      </c>
      <c r="AM81" s="195">
        <v>1</v>
      </c>
      <c r="AN81" s="196">
        <v>0</v>
      </c>
      <c r="AO81" s="219">
        <v>0</v>
      </c>
      <c r="AP81" s="220">
        <v>0</v>
      </c>
      <c r="AQ81" s="205">
        <f t="shared" si="75"/>
        <v>1</v>
      </c>
      <c r="AR81" s="206">
        <f t="shared" si="74"/>
        <v>2</v>
      </c>
      <c r="AS81" s="193">
        <v>0</v>
      </c>
      <c r="AT81" s="194">
        <v>0</v>
      </c>
      <c r="AU81" s="195">
        <v>1</v>
      </c>
      <c r="AV81" s="196">
        <v>0</v>
      </c>
      <c r="AW81" s="219">
        <v>0</v>
      </c>
      <c r="AX81" s="220">
        <v>0</v>
      </c>
      <c r="AY81" s="205">
        <f t="shared" si="68"/>
        <v>1</v>
      </c>
      <c r="AZ81" s="206">
        <f t="shared" si="69"/>
        <v>2</v>
      </c>
      <c r="BA81" s="207">
        <f t="shared" si="73"/>
        <v>2</v>
      </c>
      <c r="BB81" s="204">
        <f t="shared" si="73"/>
        <v>4</v>
      </c>
      <c r="BC81" s="208">
        <f t="shared" si="70"/>
        <v>326</v>
      </c>
      <c r="BD81" s="209">
        <f t="shared" si="70"/>
        <v>495</v>
      </c>
      <c r="BE81" s="210">
        <f t="shared" si="71"/>
        <v>404</v>
      </c>
      <c r="BF81" s="211">
        <f t="shared" si="71"/>
        <v>558</v>
      </c>
      <c r="BG81" s="212">
        <f t="shared" si="72"/>
        <v>730</v>
      </c>
      <c r="BH81" s="213">
        <f t="shared" si="72"/>
        <v>1053</v>
      </c>
    </row>
    <row r="82" spans="1:60" ht="21.6" thickBot="1" x14ac:dyDescent="0.35">
      <c r="A82" s="214" t="s">
        <v>269</v>
      </c>
      <c r="B82" s="179">
        <v>5</v>
      </c>
      <c r="C82" s="180">
        <v>14</v>
      </c>
      <c r="D82" s="303" t="s">
        <v>79</v>
      </c>
      <c r="E82" s="182" t="s">
        <v>340</v>
      </c>
      <c r="F82" s="183" t="s">
        <v>314</v>
      </c>
      <c r="G82" s="216" t="s">
        <v>341</v>
      </c>
      <c r="H82" s="217" t="s">
        <v>342</v>
      </c>
      <c r="I82" s="217" t="s">
        <v>343</v>
      </c>
      <c r="J82" s="218" t="s">
        <v>344</v>
      </c>
      <c r="K82" s="187">
        <f t="shared" si="57"/>
        <v>0.53680555555911269</v>
      </c>
      <c r="L82" s="188"/>
      <c r="M82" s="189">
        <f t="shared" si="58"/>
        <v>0.53680555555911269</v>
      </c>
      <c r="N82" s="189">
        <f t="shared" si="59"/>
        <v>0.63194444444525288</v>
      </c>
      <c r="O82" s="190">
        <f t="shared" si="60"/>
        <v>48.357050452460932</v>
      </c>
      <c r="P82" s="190">
        <f t="shared" si="61"/>
        <v>48.357050452460932</v>
      </c>
      <c r="Q82" s="191">
        <f t="shared" si="62"/>
        <v>41.076923076870528</v>
      </c>
      <c r="R82" s="227" t="s">
        <v>71</v>
      </c>
      <c r="S82" s="193">
        <v>132</v>
      </c>
      <c r="T82" s="194">
        <v>1</v>
      </c>
      <c r="U82" s="195">
        <v>154</v>
      </c>
      <c r="V82" s="196">
        <v>15</v>
      </c>
      <c r="W82" s="219">
        <v>0</v>
      </c>
      <c r="X82" s="220">
        <v>4</v>
      </c>
      <c r="Y82" s="199">
        <f t="shared" si="63"/>
        <v>306</v>
      </c>
      <c r="Z82" s="200">
        <f t="shared" si="64"/>
        <v>479</v>
      </c>
      <c r="AA82" s="193">
        <v>123</v>
      </c>
      <c r="AB82" s="194">
        <v>15</v>
      </c>
      <c r="AC82" s="195">
        <v>132</v>
      </c>
      <c r="AD82" s="201">
        <v>43</v>
      </c>
      <c r="AE82" s="221">
        <v>0</v>
      </c>
      <c r="AF82" s="220">
        <v>4</v>
      </c>
      <c r="AG82" s="199">
        <f t="shared" si="65"/>
        <v>317</v>
      </c>
      <c r="AH82" s="200">
        <f t="shared" si="66"/>
        <v>496</v>
      </c>
      <c r="AI82" s="203">
        <f t="shared" si="67"/>
        <v>623</v>
      </c>
      <c r="AJ82" s="204">
        <f t="shared" si="67"/>
        <v>975</v>
      </c>
      <c r="AK82" s="193"/>
      <c r="AL82" s="194"/>
      <c r="AM82" s="195"/>
      <c r="AN82" s="196"/>
      <c r="AO82" s="219"/>
      <c r="AP82" s="220"/>
      <c r="AQ82" s="205">
        <f t="shared" si="75"/>
        <v>0</v>
      </c>
      <c r="AR82" s="206">
        <f t="shared" si="74"/>
        <v>0</v>
      </c>
      <c r="AS82" s="193"/>
      <c r="AT82" s="194"/>
      <c r="AU82" s="195"/>
      <c r="AV82" s="196"/>
      <c r="AW82" s="219"/>
      <c r="AX82" s="220"/>
      <c r="AY82" s="205">
        <f t="shared" si="68"/>
        <v>0</v>
      </c>
      <c r="AZ82" s="206">
        <f t="shared" si="69"/>
        <v>0</v>
      </c>
      <c r="BA82" s="207">
        <f t="shared" si="73"/>
        <v>0</v>
      </c>
      <c r="BB82" s="204">
        <f t="shared" si="73"/>
        <v>0</v>
      </c>
      <c r="BC82" s="208">
        <f t="shared" si="70"/>
        <v>306</v>
      </c>
      <c r="BD82" s="209">
        <f t="shared" si="70"/>
        <v>479</v>
      </c>
      <c r="BE82" s="210">
        <f t="shared" si="71"/>
        <v>317</v>
      </c>
      <c r="BF82" s="211">
        <f t="shared" si="71"/>
        <v>496</v>
      </c>
      <c r="BG82" s="212">
        <f t="shared" si="72"/>
        <v>623</v>
      </c>
      <c r="BH82" s="213">
        <f t="shared" si="72"/>
        <v>975</v>
      </c>
    </row>
    <row r="83" spans="1:60" ht="21.6" thickBot="1" x14ac:dyDescent="0.35">
      <c r="A83" s="214" t="s">
        <v>269</v>
      </c>
      <c r="B83" s="179">
        <v>8</v>
      </c>
      <c r="C83" s="180">
        <v>15</v>
      </c>
      <c r="D83" s="215" t="s">
        <v>231</v>
      </c>
      <c r="E83" s="182" t="s">
        <v>345</v>
      </c>
      <c r="F83" s="281" t="s">
        <v>210</v>
      </c>
      <c r="G83" s="216" t="s">
        <v>346</v>
      </c>
      <c r="H83" s="217" t="s">
        <v>347</v>
      </c>
      <c r="I83" s="217" t="s">
        <v>348</v>
      </c>
      <c r="J83" s="218" t="s">
        <v>349</v>
      </c>
      <c r="K83" s="187">
        <f t="shared" si="57"/>
        <v>0.55277777777519077</v>
      </c>
      <c r="L83" s="188"/>
      <c r="M83" s="189">
        <f t="shared" si="58"/>
        <v>0.55277777777519077</v>
      </c>
      <c r="N83" s="189">
        <f t="shared" si="59"/>
        <v>0.64583333333575865</v>
      </c>
      <c r="O83" s="190">
        <f t="shared" si="60"/>
        <v>47.562814070574355</v>
      </c>
      <c r="P83" s="190">
        <f t="shared" si="61"/>
        <v>47.562814070574355</v>
      </c>
      <c r="Q83" s="191">
        <f t="shared" si="62"/>
        <v>40.709677419201959</v>
      </c>
      <c r="R83" s="192" t="s">
        <v>57</v>
      </c>
      <c r="S83" s="193">
        <v>125</v>
      </c>
      <c r="T83" s="194">
        <v>110</v>
      </c>
      <c r="U83" s="195">
        <v>115</v>
      </c>
      <c r="V83" s="196">
        <v>0</v>
      </c>
      <c r="W83" s="219">
        <v>0</v>
      </c>
      <c r="X83" s="220">
        <v>0</v>
      </c>
      <c r="Y83" s="199">
        <f t="shared" si="63"/>
        <v>350</v>
      </c>
      <c r="Z83" s="200">
        <f t="shared" si="64"/>
        <v>465</v>
      </c>
      <c r="AA83" s="193">
        <v>171</v>
      </c>
      <c r="AB83" s="194">
        <v>0</v>
      </c>
      <c r="AC83" s="195">
        <v>82</v>
      </c>
      <c r="AD83" s="201">
        <v>13</v>
      </c>
      <c r="AE83" s="221">
        <v>0</v>
      </c>
      <c r="AF83" s="220">
        <v>15</v>
      </c>
      <c r="AG83" s="199">
        <f t="shared" si="65"/>
        <v>281</v>
      </c>
      <c r="AH83" s="200">
        <f t="shared" si="66"/>
        <v>391</v>
      </c>
      <c r="AI83" s="203">
        <f t="shared" si="67"/>
        <v>631</v>
      </c>
      <c r="AJ83" s="204">
        <f t="shared" si="67"/>
        <v>856</v>
      </c>
      <c r="AK83" s="193"/>
      <c r="AL83" s="194"/>
      <c r="AM83" s="195"/>
      <c r="AN83" s="196"/>
      <c r="AO83" s="219"/>
      <c r="AP83" s="220"/>
      <c r="AQ83" s="205">
        <f t="shared" si="75"/>
        <v>0</v>
      </c>
      <c r="AR83" s="206">
        <f t="shared" si="74"/>
        <v>0</v>
      </c>
      <c r="AS83" s="193"/>
      <c r="AT83" s="194"/>
      <c r="AU83" s="195"/>
      <c r="AV83" s="196"/>
      <c r="AW83" s="219"/>
      <c r="AX83" s="220"/>
      <c r="AY83" s="205">
        <f t="shared" si="68"/>
        <v>0</v>
      </c>
      <c r="AZ83" s="206">
        <f t="shared" si="69"/>
        <v>0</v>
      </c>
      <c r="BA83" s="207">
        <f t="shared" si="73"/>
        <v>0</v>
      </c>
      <c r="BB83" s="204">
        <f t="shared" si="73"/>
        <v>0</v>
      </c>
      <c r="BC83" s="208">
        <f t="shared" si="70"/>
        <v>350</v>
      </c>
      <c r="BD83" s="209">
        <f t="shared" si="70"/>
        <v>465</v>
      </c>
      <c r="BE83" s="210">
        <f t="shared" si="71"/>
        <v>281</v>
      </c>
      <c r="BF83" s="211">
        <f t="shared" si="71"/>
        <v>391</v>
      </c>
      <c r="BG83" s="212">
        <f t="shared" si="72"/>
        <v>631</v>
      </c>
      <c r="BH83" s="213">
        <f t="shared" si="72"/>
        <v>856</v>
      </c>
    </row>
    <row r="84" spans="1:60" ht="21.6" thickBot="1" x14ac:dyDescent="0.35">
      <c r="A84" s="214" t="s">
        <v>269</v>
      </c>
      <c r="B84" s="179">
        <v>9</v>
      </c>
      <c r="C84" s="180">
        <v>16</v>
      </c>
      <c r="D84" s="215" t="s">
        <v>58</v>
      </c>
      <c r="E84" s="182" t="s">
        <v>350</v>
      </c>
      <c r="F84" s="183" t="s">
        <v>314</v>
      </c>
      <c r="G84" s="216" t="s">
        <v>351</v>
      </c>
      <c r="H84" s="217" t="s">
        <v>352</v>
      </c>
      <c r="I84" s="217" t="s">
        <v>353</v>
      </c>
      <c r="J84" s="218" t="s">
        <v>354</v>
      </c>
      <c r="K84" s="187">
        <f>I84-H84</f>
        <v>0.88611111111094942</v>
      </c>
      <c r="L84" s="188">
        <v>0.35416666666424135</v>
      </c>
      <c r="M84" s="189">
        <f t="shared" si="58"/>
        <v>0.53194444444670808</v>
      </c>
      <c r="N84" s="189">
        <f t="shared" si="59"/>
        <v>1.0347222222189885</v>
      </c>
      <c r="O84" s="190">
        <f t="shared" si="60"/>
        <v>45.195822454115763</v>
      </c>
      <c r="P84" s="190">
        <f t="shared" si="61"/>
        <v>27.131661442011222</v>
      </c>
      <c r="Q84" s="191">
        <f t="shared" si="62"/>
        <v>23.234899328931675</v>
      </c>
      <c r="R84" s="192" t="s">
        <v>57</v>
      </c>
      <c r="S84" s="193">
        <v>73</v>
      </c>
      <c r="T84" s="194">
        <v>58</v>
      </c>
      <c r="U84" s="195">
        <v>90</v>
      </c>
      <c r="V84" s="196">
        <v>3</v>
      </c>
      <c r="W84" s="219">
        <v>0</v>
      </c>
      <c r="X84" s="220">
        <v>0</v>
      </c>
      <c r="Y84" s="199">
        <f t="shared" si="63"/>
        <v>224</v>
      </c>
      <c r="Z84" s="200">
        <f t="shared" si="64"/>
        <v>317</v>
      </c>
      <c r="AA84" s="193">
        <v>89</v>
      </c>
      <c r="AB84" s="194">
        <v>0</v>
      </c>
      <c r="AC84" s="195">
        <v>96</v>
      </c>
      <c r="AD84" s="201">
        <v>0</v>
      </c>
      <c r="AE84" s="221">
        <v>0</v>
      </c>
      <c r="AF84" s="220">
        <v>0</v>
      </c>
      <c r="AG84" s="199">
        <f t="shared" si="65"/>
        <v>185</v>
      </c>
      <c r="AH84" s="200">
        <f t="shared" si="66"/>
        <v>281</v>
      </c>
      <c r="AI84" s="203">
        <f t="shared" si="67"/>
        <v>409</v>
      </c>
      <c r="AJ84" s="204">
        <f t="shared" si="67"/>
        <v>598</v>
      </c>
      <c r="AK84" s="193">
        <v>0</v>
      </c>
      <c r="AL84" s="194">
        <v>0</v>
      </c>
      <c r="AM84" s="195">
        <v>50</v>
      </c>
      <c r="AN84" s="196">
        <v>34</v>
      </c>
      <c r="AO84" s="219">
        <v>0</v>
      </c>
      <c r="AP84" s="220">
        <v>0</v>
      </c>
      <c r="AQ84" s="205">
        <f t="shared" si="75"/>
        <v>84</v>
      </c>
      <c r="AR84" s="206">
        <f t="shared" si="74"/>
        <v>168</v>
      </c>
      <c r="AS84" s="193">
        <v>0</v>
      </c>
      <c r="AT84" s="194">
        <v>0</v>
      </c>
      <c r="AU84" s="195">
        <v>50</v>
      </c>
      <c r="AV84" s="196">
        <v>34</v>
      </c>
      <c r="AW84" s="219">
        <v>0</v>
      </c>
      <c r="AX84" s="220">
        <v>0</v>
      </c>
      <c r="AY84" s="205">
        <f t="shared" si="68"/>
        <v>84</v>
      </c>
      <c r="AZ84" s="206">
        <f t="shared" si="69"/>
        <v>168</v>
      </c>
      <c r="BA84" s="207">
        <f t="shared" si="73"/>
        <v>168</v>
      </c>
      <c r="BB84" s="204">
        <f t="shared" si="73"/>
        <v>336</v>
      </c>
      <c r="BC84" s="208">
        <f t="shared" si="70"/>
        <v>308</v>
      </c>
      <c r="BD84" s="209">
        <f t="shared" si="70"/>
        <v>485</v>
      </c>
      <c r="BE84" s="210">
        <f t="shared" si="71"/>
        <v>269</v>
      </c>
      <c r="BF84" s="211">
        <f t="shared" si="71"/>
        <v>449</v>
      </c>
      <c r="BG84" s="212">
        <f t="shared" si="72"/>
        <v>577</v>
      </c>
      <c r="BH84" s="213">
        <f t="shared" si="72"/>
        <v>934</v>
      </c>
    </row>
    <row r="85" spans="1:60" ht="21.6" thickBot="1" x14ac:dyDescent="0.35">
      <c r="A85" s="214" t="s">
        <v>269</v>
      </c>
      <c r="B85" s="179">
        <v>10</v>
      </c>
      <c r="C85" s="180">
        <v>17</v>
      </c>
      <c r="D85" s="215" t="s">
        <v>51</v>
      </c>
      <c r="E85" s="182" t="s">
        <v>355</v>
      </c>
      <c r="F85" s="281" t="s">
        <v>356</v>
      </c>
      <c r="G85" s="216" t="s">
        <v>357</v>
      </c>
      <c r="H85" s="217" t="s">
        <v>358</v>
      </c>
      <c r="I85" s="217" t="s">
        <v>359</v>
      </c>
      <c r="J85" s="218" t="s">
        <v>360</v>
      </c>
      <c r="K85" s="187">
        <f>I85-H85</f>
        <v>1</v>
      </c>
      <c r="L85" s="188">
        <v>0.37847222222626442</v>
      </c>
      <c r="M85" s="189">
        <f t="shared" si="58"/>
        <v>0.62152777777373558</v>
      </c>
      <c r="N85" s="189">
        <f t="shared" si="59"/>
        <v>1.1354166666642413</v>
      </c>
      <c r="O85" s="190">
        <f t="shared" si="60"/>
        <v>39.687150838246936</v>
      </c>
      <c r="P85" s="190">
        <f t="shared" si="61"/>
        <v>24.666666666666668</v>
      </c>
      <c r="Q85" s="191">
        <f t="shared" si="62"/>
        <v>21.724770642248242</v>
      </c>
      <c r="R85" s="192" t="s">
        <v>57</v>
      </c>
      <c r="S85" s="193">
        <v>172</v>
      </c>
      <c r="T85" s="194">
        <v>67</v>
      </c>
      <c r="U85" s="195">
        <v>94</v>
      </c>
      <c r="V85" s="196">
        <v>70</v>
      </c>
      <c r="W85" s="219">
        <v>0</v>
      </c>
      <c r="X85" s="220">
        <v>5</v>
      </c>
      <c r="Y85" s="199">
        <f t="shared" si="63"/>
        <v>408</v>
      </c>
      <c r="Z85" s="200">
        <f t="shared" si="64"/>
        <v>577</v>
      </c>
      <c r="AA85" s="193">
        <v>102</v>
      </c>
      <c r="AB85" s="194">
        <v>0</v>
      </c>
      <c r="AC85" s="195">
        <v>58</v>
      </c>
      <c r="AD85" s="201">
        <v>8</v>
      </c>
      <c r="AE85" s="221">
        <v>0</v>
      </c>
      <c r="AF85" s="220">
        <v>16</v>
      </c>
      <c r="AG85" s="199">
        <f t="shared" si="65"/>
        <v>184</v>
      </c>
      <c r="AH85" s="200">
        <f t="shared" si="66"/>
        <v>266</v>
      </c>
      <c r="AI85" s="203">
        <f t="shared" si="67"/>
        <v>592</v>
      </c>
      <c r="AJ85" s="204">
        <f t="shared" si="67"/>
        <v>843</v>
      </c>
      <c r="AK85" s="193"/>
      <c r="AL85" s="194"/>
      <c r="AM85" s="195"/>
      <c r="AN85" s="196"/>
      <c r="AO85" s="219"/>
      <c r="AP85" s="220"/>
      <c r="AQ85" s="205">
        <f t="shared" si="75"/>
        <v>0</v>
      </c>
      <c r="AR85" s="206">
        <f t="shared" si="74"/>
        <v>0</v>
      </c>
      <c r="AS85" s="193"/>
      <c r="AT85" s="194"/>
      <c r="AU85" s="195"/>
      <c r="AV85" s="196"/>
      <c r="AW85" s="219"/>
      <c r="AX85" s="220"/>
      <c r="AY85" s="205">
        <f t="shared" si="68"/>
        <v>0</v>
      </c>
      <c r="AZ85" s="206">
        <f t="shared" si="69"/>
        <v>0</v>
      </c>
      <c r="BA85" s="207">
        <f t="shared" si="73"/>
        <v>0</v>
      </c>
      <c r="BB85" s="204">
        <f t="shared" si="73"/>
        <v>0</v>
      </c>
      <c r="BC85" s="208">
        <f t="shared" si="70"/>
        <v>408</v>
      </c>
      <c r="BD85" s="209">
        <f t="shared" si="70"/>
        <v>577</v>
      </c>
      <c r="BE85" s="210">
        <f t="shared" si="71"/>
        <v>184</v>
      </c>
      <c r="BF85" s="211">
        <f t="shared" si="71"/>
        <v>266</v>
      </c>
      <c r="BG85" s="212">
        <f t="shared" si="72"/>
        <v>592</v>
      </c>
      <c r="BH85" s="213">
        <f t="shared" si="72"/>
        <v>843</v>
      </c>
    </row>
    <row r="86" spans="1:60" ht="21.6" thickBot="1" x14ac:dyDescent="0.35">
      <c r="A86" s="214" t="s">
        <v>269</v>
      </c>
      <c r="B86" s="179">
        <v>6</v>
      </c>
      <c r="C86" s="180">
        <v>18</v>
      </c>
      <c r="D86" s="215" t="s">
        <v>65</v>
      </c>
      <c r="E86" s="182" t="s">
        <v>361</v>
      </c>
      <c r="F86" s="281" t="s">
        <v>356</v>
      </c>
      <c r="G86" s="216" t="s">
        <v>362</v>
      </c>
      <c r="H86" s="217" t="s">
        <v>363</v>
      </c>
      <c r="I86" s="217" t="s">
        <v>364</v>
      </c>
      <c r="J86" s="218" t="s">
        <v>365</v>
      </c>
      <c r="K86" s="187">
        <f t="shared" si="57"/>
        <v>0.52708333333430346</v>
      </c>
      <c r="L86" s="188"/>
      <c r="M86" s="189">
        <f t="shared" si="58"/>
        <v>0.52708333333430346</v>
      </c>
      <c r="N86" s="189">
        <f t="shared" si="59"/>
        <v>0.54861111110949423</v>
      </c>
      <c r="O86" s="190">
        <f t="shared" si="60"/>
        <v>47.747035573034651</v>
      </c>
      <c r="P86" s="190">
        <f t="shared" si="61"/>
        <v>47.747035573034651</v>
      </c>
      <c r="Q86" s="191">
        <f t="shared" si="62"/>
        <v>45.873417721654185</v>
      </c>
      <c r="R86" s="227" t="s">
        <v>71</v>
      </c>
      <c r="S86" s="193">
        <v>138</v>
      </c>
      <c r="T86" s="194">
        <v>2</v>
      </c>
      <c r="U86" s="195">
        <v>155</v>
      </c>
      <c r="V86" s="196">
        <v>2</v>
      </c>
      <c r="W86" s="219">
        <v>0</v>
      </c>
      <c r="X86" s="220">
        <v>5</v>
      </c>
      <c r="Y86" s="199">
        <f t="shared" si="63"/>
        <v>302</v>
      </c>
      <c r="Z86" s="200">
        <f t="shared" si="64"/>
        <v>464</v>
      </c>
      <c r="AA86" s="193">
        <v>118</v>
      </c>
      <c r="AB86" s="194">
        <v>16</v>
      </c>
      <c r="AC86" s="195">
        <v>120</v>
      </c>
      <c r="AD86" s="201">
        <v>44</v>
      </c>
      <c r="AE86" s="221">
        <v>0</v>
      </c>
      <c r="AF86" s="220">
        <v>4</v>
      </c>
      <c r="AG86" s="199">
        <f t="shared" si="65"/>
        <v>302</v>
      </c>
      <c r="AH86" s="200">
        <f t="shared" si="66"/>
        <v>470</v>
      </c>
      <c r="AI86" s="203">
        <f t="shared" si="67"/>
        <v>604</v>
      </c>
      <c r="AJ86" s="204">
        <f t="shared" si="67"/>
        <v>934</v>
      </c>
      <c r="AK86" s="193"/>
      <c r="AL86" s="194"/>
      <c r="AM86" s="195"/>
      <c r="AN86" s="196"/>
      <c r="AO86" s="219"/>
      <c r="AP86" s="220"/>
      <c r="AQ86" s="205">
        <f t="shared" si="75"/>
        <v>0</v>
      </c>
      <c r="AR86" s="206">
        <f t="shared" si="74"/>
        <v>0</v>
      </c>
      <c r="AS86" s="193"/>
      <c r="AT86" s="194"/>
      <c r="AU86" s="195"/>
      <c r="AV86" s="196"/>
      <c r="AW86" s="219"/>
      <c r="AX86" s="220"/>
      <c r="AY86" s="205">
        <f t="shared" si="68"/>
        <v>0</v>
      </c>
      <c r="AZ86" s="206">
        <f t="shared" si="69"/>
        <v>0</v>
      </c>
      <c r="BA86" s="207">
        <f t="shared" si="73"/>
        <v>0</v>
      </c>
      <c r="BB86" s="204">
        <f t="shared" si="73"/>
        <v>0</v>
      </c>
      <c r="BC86" s="208">
        <f t="shared" si="70"/>
        <v>302</v>
      </c>
      <c r="BD86" s="209">
        <f t="shared" si="70"/>
        <v>464</v>
      </c>
      <c r="BE86" s="210">
        <f t="shared" si="71"/>
        <v>302</v>
      </c>
      <c r="BF86" s="211">
        <f t="shared" si="71"/>
        <v>470</v>
      </c>
      <c r="BG86" s="212">
        <f t="shared" si="72"/>
        <v>604</v>
      </c>
      <c r="BH86" s="213">
        <f t="shared" si="72"/>
        <v>934</v>
      </c>
    </row>
    <row r="87" spans="1:60" ht="21.6" thickBot="1" x14ac:dyDescent="0.35">
      <c r="A87" s="214" t="s">
        <v>269</v>
      </c>
      <c r="B87" s="179">
        <v>11</v>
      </c>
      <c r="C87" s="180">
        <v>19</v>
      </c>
      <c r="D87" s="215" t="s">
        <v>72</v>
      </c>
      <c r="E87" s="182" t="s">
        <v>366</v>
      </c>
      <c r="F87" s="183" t="s">
        <v>210</v>
      </c>
      <c r="G87" s="216" t="s">
        <v>367</v>
      </c>
      <c r="H87" s="217" t="s">
        <v>368</v>
      </c>
      <c r="I87" s="217" t="s">
        <v>369</v>
      </c>
      <c r="J87" s="218" t="s">
        <v>370</v>
      </c>
      <c r="K87" s="187">
        <f t="shared" si="57"/>
        <v>0.75</v>
      </c>
      <c r="L87" s="188"/>
      <c r="M87" s="189">
        <f t="shared" si="58"/>
        <v>0.75</v>
      </c>
      <c r="N87" s="189">
        <f t="shared" si="59"/>
        <v>0.88194444444525288</v>
      </c>
      <c r="O87" s="190">
        <f t="shared" si="60"/>
        <v>49.833333333333336</v>
      </c>
      <c r="P87" s="190">
        <f t="shared" si="61"/>
        <v>49.833333333333336</v>
      </c>
      <c r="Q87" s="191">
        <f t="shared" si="62"/>
        <v>42.377952755866666</v>
      </c>
      <c r="R87" s="192" t="s">
        <v>57</v>
      </c>
      <c r="S87" s="193">
        <v>197</v>
      </c>
      <c r="T87" s="194">
        <v>130</v>
      </c>
      <c r="U87" s="195">
        <v>119</v>
      </c>
      <c r="V87" s="196">
        <v>30</v>
      </c>
      <c r="W87" s="219">
        <v>0</v>
      </c>
      <c r="X87" s="220">
        <v>1</v>
      </c>
      <c r="Y87" s="199">
        <f t="shared" si="63"/>
        <v>477</v>
      </c>
      <c r="Z87" s="200">
        <f t="shared" si="64"/>
        <v>627</v>
      </c>
      <c r="AA87" s="193">
        <v>226</v>
      </c>
      <c r="AB87" s="194">
        <v>0</v>
      </c>
      <c r="AC87" s="195">
        <v>156</v>
      </c>
      <c r="AD87" s="201">
        <v>9</v>
      </c>
      <c r="AE87" s="221">
        <v>0</v>
      </c>
      <c r="AF87" s="220">
        <v>19</v>
      </c>
      <c r="AG87" s="199">
        <f t="shared" si="65"/>
        <v>410</v>
      </c>
      <c r="AH87" s="200">
        <f t="shared" si="66"/>
        <v>594</v>
      </c>
      <c r="AI87" s="203">
        <f t="shared" si="67"/>
        <v>887</v>
      </c>
      <c r="AJ87" s="204">
        <f t="shared" si="67"/>
        <v>1221</v>
      </c>
      <c r="AK87" s="193">
        <v>0</v>
      </c>
      <c r="AL87" s="194">
        <v>0</v>
      </c>
      <c r="AM87" s="195">
        <v>5</v>
      </c>
      <c r="AN87" s="196">
        <v>0</v>
      </c>
      <c r="AO87" s="219">
        <v>0</v>
      </c>
      <c r="AP87" s="220">
        <v>0</v>
      </c>
      <c r="AQ87" s="205">
        <f t="shared" si="75"/>
        <v>5</v>
      </c>
      <c r="AR87" s="206">
        <f t="shared" si="74"/>
        <v>10</v>
      </c>
      <c r="AS87" s="193">
        <v>0</v>
      </c>
      <c r="AT87" s="194">
        <v>0</v>
      </c>
      <c r="AU87" s="195">
        <v>5</v>
      </c>
      <c r="AV87" s="196">
        <v>0</v>
      </c>
      <c r="AW87" s="219">
        <v>0</v>
      </c>
      <c r="AX87" s="220">
        <v>0</v>
      </c>
      <c r="AY87" s="205">
        <f t="shared" si="68"/>
        <v>5</v>
      </c>
      <c r="AZ87" s="206">
        <f t="shared" si="69"/>
        <v>10</v>
      </c>
      <c r="BA87" s="207">
        <f t="shared" si="73"/>
        <v>10</v>
      </c>
      <c r="BB87" s="204">
        <f t="shared" si="73"/>
        <v>20</v>
      </c>
      <c r="BC87" s="208">
        <f t="shared" si="70"/>
        <v>482</v>
      </c>
      <c r="BD87" s="209">
        <f t="shared" si="70"/>
        <v>637</v>
      </c>
      <c r="BE87" s="210">
        <f t="shared" si="71"/>
        <v>415</v>
      </c>
      <c r="BF87" s="211">
        <f t="shared" si="71"/>
        <v>604</v>
      </c>
      <c r="BG87" s="212">
        <f t="shared" si="72"/>
        <v>897</v>
      </c>
      <c r="BH87" s="213">
        <f t="shared" si="72"/>
        <v>1241</v>
      </c>
    </row>
    <row r="88" spans="1:60" ht="21.6" thickBot="1" x14ac:dyDescent="0.35">
      <c r="A88" s="214" t="s">
        <v>269</v>
      </c>
      <c r="B88" s="179">
        <v>7</v>
      </c>
      <c r="C88" s="180">
        <v>20</v>
      </c>
      <c r="D88" s="303" t="s">
        <v>79</v>
      </c>
      <c r="E88" s="182" t="s">
        <v>371</v>
      </c>
      <c r="F88" s="183" t="s">
        <v>356</v>
      </c>
      <c r="G88" s="216" t="s">
        <v>372</v>
      </c>
      <c r="H88" s="217" t="s">
        <v>373</v>
      </c>
      <c r="I88" s="217" t="s">
        <v>374</v>
      </c>
      <c r="J88" s="218" t="s">
        <v>375</v>
      </c>
      <c r="K88" s="187">
        <f t="shared" si="57"/>
        <v>0.43402777778101154</v>
      </c>
      <c r="L88" s="188"/>
      <c r="M88" s="189">
        <f t="shared" si="58"/>
        <v>0.43402777778101154</v>
      </c>
      <c r="N88" s="189">
        <f t="shared" si="59"/>
        <v>0.46875</v>
      </c>
      <c r="O88" s="190">
        <f t="shared" si="60"/>
        <v>60.095999999552248</v>
      </c>
      <c r="P88" s="190">
        <f t="shared" si="61"/>
        <v>60.095999999552248</v>
      </c>
      <c r="Q88" s="191">
        <f t="shared" si="62"/>
        <v>55.644444444444446</v>
      </c>
      <c r="R88" s="227" t="s">
        <v>71</v>
      </c>
      <c r="S88" s="193">
        <v>137</v>
      </c>
      <c r="T88" s="194">
        <v>1</v>
      </c>
      <c r="U88" s="195">
        <v>154</v>
      </c>
      <c r="V88" s="196">
        <v>12</v>
      </c>
      <c r="W88" s="219">
        <v>0</v>
      </c>
      <c r="X88" s="220">
        <v>4</v>
      </c>
      <c r="Y88" s="199">
        <f t="shared" si="63"/>
        <v>308</v>
      </c>
      <c r="Z88" s="200">
        <f t="shared" si="64"/>
        <v>478</v>
      </c>
      <c r="AA88" s="193">
        <v>128</v>
      </c>
      <c r="AB88" s="194">
        <v>12</v>
      </c>
      <c r="AC88" s="195">
        <v>124</v>
      </c>
      <c r="AD88" s="201">
        <v>49</v>
      </c>
      <c r="AE88" s="221">
        <v>0</v>
      </c>
      <c r="AF88" s="220">
        <v>5</v>
      </c>
      <c r="AG88" s="199">
        <f t="shared" si="65"/>
        <v>318</v>
      </c>
      <c r="AH88" s="200">
        <f t="shared" si="66"/>
        <v>496</v>
      </c>
      <c r="AI88" s="203">
        <f t="shared" si="67"/>
        <v>626</v>
      </c>
      <c r="AJ88" s="204">
        <f t="shared" si="67"/>
        <v>974</v>
      </c>
      <c r="AK88" s="193"/>
      <c r="AL88" s="194"/>
      <c r="AM88" s="195"/>
      <c r="AN88" s="196"/>
      <c r="AO88" s="219"/>
      <c r="AP88" s="220"/>
      <c r="AQ88" s="205">
        <f t="shared" si="75"/>
        <v>0</v>
      </c>
      <c r="AR88" s="206">
        <f t="shared" si="74"/>
        <v>0</v>
      </c>
      <c r="AS88" s="193"/>
      <c r="AT88" s="194"/>
      <c r="AU88" s="195"/>
      <c r="AV88" s="196"/>
      <c r="AW88" s="219"/>
      <c r="AX88" s="220"/>
      <c r="AY88" s="205">
        <f t="shared" si="68"/>
        <v>0</v>
      </c>
      <c r="AZ88" s="206">
        <f t="shared" si="69"/>
        <v>0</v>
      </c>
      <c r="BA88" s="207">
        <f t="shared" si="73"/>
        <v>0</v>
      </c>
      <c r="BB88" s="204">
        <f t="shared" si="73"/>
        <v>0</v>
      </c>
      <c r="BC88" s="208">
        <f t="shared" si="70"/>
        <v>308</v>
      </c>
      <c r="BD88" s="209">
        <f t="shared" si="70"/>
        <v>478</v>
      </c>
      <c r="BE88" s="210">
        <f t="shared" si="71"/>
        <v>318</v>
      </c>
      <c r="BF88" s="211">
        <f t="shared" si="71"/>
        <v>496</v>
      </c>
      <c r="BG88" s="212">
        <f t="shared" si="72"/>
        <v>626</v>
      </c>
      <c r="BH88" s="213">
        <f t="shared" si="72"/>
        <v>974</v>
      </c>
    </row>
    <row r="89" spans="1:60" ht="21.6" thickBot="1" x14ac:dyDescent="0.35">
      <c r="A89" s="214" t="s">
        <v>269</v>
      </c>
      <c r="B89" s="179">
        <v>12</v>
      </c>
      <c r="C89" s="180">
        <v>21</v>
      </c>
      <c r="D89" s="215" t="s">
        <v>231</v>
      </c>
      <c r="E89" s="182" t="s">
        <v>376</v>
      </c>
      <c r="F89" s="281" t="s">
        <v>243</v>
      </c>
      <c r="G89" s="216" t="s">
        <v>377</v>
      </c>
      <c r="H89" s="217" t="s">
        <v>378</v>
      </c>
      <c r="I89" s="217" t="s">
        <v>379</v>
      </c>
      <c r="J89" s="218" t="s">
        <v>380</v>
      </c>
      <c r="K89" s="187">
        <f t="shared" si="57"/>
        <v>0.60416666666424135</v>
      </c>
      <c r="L89" s="188"/>
      <c r="M89" s="189">
        <f t="shared" si="58"/>
        <v>0.60416666666424135</v>
      </c>
      <c r="N89" s="189">
        <f t="shared" si="59"/>
        <v>0.66666666666424135</v>
      </c>
      <c r="O89" s="190">
        <f t="shared" si="60"/>
        <v>47.862068965709376</v>
      </c>
      <c r="P89" s="190">
        <f t="shared" si="61"/>
        <v>47.862068965709376</v>
      </c>
      <c r="Q89" s="191">
        <f t="shared" si="62"/>
        <v>43.375000000157797</v>
      </c>
      <c r="R89" s="192" t="s">
        <v>57</v>
      </c>
      <c r="S89" s="193">
        <v>182</v>
      </c>
      <c r="T89" s="194">
        <v>120</v>
      </c>
      <c r="U89" s="195">
        <v>81</v>
      </c>
      <c r="V89" s="196">
        <v>30</v>
      </c>
      <c r="W89" s="219">
        <v>0</v>
      </c>
      <c r="X89" s="220">
        <v>1</v>
      </c>
      <c r="Y89" s="199">
        <f t="shared" si="63"/>
        <v>414</v>
      </c>
      <c r="Z89" s="200">
        <f t="shared" si="64"/>
        <v>526</v>
      </c>
      <c r="AA89" s="193">
        <v>210</v>
      </c>
      <c r="AB89" s="194">
        <v>0</v>
      </c>
      <c r="AC89" s="195">
        <v>49</v>
      </c>
      <c r="AD89" s="201">
        <v>10</v>
      </c>
      <c r="AE89" s="221">
        <v>0</v>
      </c>
      <c r="AF89" s="220">
        <v>11</v>
      </c>
      <c r="AG89" s="199">
        <f t="shared" si="65"/>
        <v>280</v>
      </c>
      <c r="AH89" s="200">
        <f t="shared" si="66"/>
        <v>350</v>
      </c>
      <c r="AI89" s="203">
        <f t="shared" si="67"/>
        <v>694</v>
      </c>
      <c r="AJ89" s="204">
        <f t="shared" si="67"/>
        <v>876</v>
      </c>
      <c r="AK89" s="193"/>
      <c r="AL89" s="194"/>
      <c r="AM89" s="195"/>
      <c r="AN89" s="196"/>
      <c r="AO89" s="219"/>
      <c r="AP89" s="220"/>
      <c r="AQ89" s="205">
        <f t="shared" si="75"/>
        <v>0</v>
      </c>
      <c r="AR89" s="206">
        <f t="shared" si="74"/>
        <v>0</v>
      </c>
      <c r="AS89" s="193"/>
      <c r="AT89" s="194"/>
      <c r="AU89" s="195"/>
      <c r="AV89" s="196"/>
      <c r="AW89" s="219"/>
      <c r="AX89" s="220"/>
      <c r="AY89" s="205">
        <f t="shared" si="68"/>
        <v>0</v>
      </c>
      <c r="AZ89" s="206">
        <f t="shared" si="69"/>
        <v>0</v>
      </c>
      <c r="BA89" s="207">
        <f t="shared" si="73"/>
        <v>0</v>
      </c>
      <c r="BB89" s="204">
        <f t="shared" si="73"/>
        <v>0</v>
      </c>
      <c r="BC89" s="208">
        <f t="shared" si="70"/>
        <v>414</v>
      </c>
      <c r="BD89" s="209">
        <f t="shared" si="70"/>
        <v>526</v>
      </c>
      <c r="BE89" s="210">
        <f t="shared" si="71"/>
        <v>280</v>
      </c>
      <c r="BF89" s="211">
        <f t="shared" si="71"/>
        <v>350</v>
      </c>
      <c r="BG89" s="212">
        <f t="shared" si="72"/>
        <v>694</v>
      </c>
      <c r="BH89" s="213">
        <f t="shared" si="72"/>
        <v>876</v>
      </c>
    </row>
    <row r="90" spans="1:60" ht="21.6" thickBot="1" x14ac:dyDescent="0.35">
      <c r="A90" s="214" t="s">
        <v>269</v>
      </c>
      <c r="B90" s="179">
        <v>13</v>
      </c>
      <c r="C90" s="180">
        <v>22</v>
      </c>
      <c r="D90" s="215" t="s">
        <v>58</v>
      </c>
      <c r="E90" s="182" t="s">
        <v>381</v>
      </c>
      <c r="F90" s="183" t="s">
        <v>356</v>
      </c>
      <c r="G90" s="216" t="s">
        <v>382</v>
      </c>
      <c r="H90" s="217" t="s">
        <v>383</v>
      </c>
      <c r="I90" s="217" t="s">
        <v>384</v>
      </c>
      <c r="J90" s="218" t="s">
        <v>385</v>
      </c>
      <c r="K90" s="187">
        <f t="shared" si="57"/>
        <v>0.46875</v>
      </c>
      <c r="L90" s="188"/>
      <c r="M90" s="189">
        <f t="shared" si="58"/>
        <v>0.46875</v>
      </c>
      <c r="N90" s="189">
        <f t="shared" si="59"/>
        <v>0.48611111111677019</v>
      </c>
      <c r="O90" s="190">
        <f t="shared" si="60"/>
        <v>48.355555555555554</v>
      </c>
      <c r="P90" s="190">
        <f t="shared" si="61"/>
        <v>48.355555555555554</v>
      </c>
      <c r="Q90" s="191">
        <f t="shared" si="62"/>
        <v>46.6285714280286</v>
      </c>
      <c r="R90" s="192" t="s">
        <v>57</v>
      </c>
      <c r="S90" s="193">
        <v>60</v>
      </c>
      <c r="T90" s="194">
        <v>34</v>
      </c>
      <c r="U90" s="195">
        <v>58</v>
      </c>
      <c r="V90" s="196">
        <v>4</v>
      </c>
      <c r="W90" s="219">
        <v>0</v>
      </c>
      <c r="X90" s="220">
        <v>0</v>
      </c>
      <c r="Y90" s="199">
        <f t="shared" si="63"/>
        <v>156</v>
      </c>
      <c r="Z90" s="200">
        <f t="shared" si="64"/>
        <v>218</v>
      </c>
      <c r="AA90" s="193">
        <v>125</v>
      </c>
      <c r="AB90" s="194">
        <v>10</v>
      </c>
      <c r="AC90" s="195">
        <v>87</v>
      </c>
      <c r="AD90" s="201">
        <v>100</v>
      </c>
      <c r="AE90" s="221">
        <v>0</v>
      </c>
      <c r="AF90" s="220">
        <v>0</v>
      </c>
      <c r="AG90" s="199">
        <f t="shared" si="65"/>
        <v>322</v>
      </c>
      <c r="AH90" s="200">
        <f t="shared" si="66"/>
        <v>509</v>
      </c>
      <c r="AI90" s="203">
        <f t="shared" si="67"/>
        <v>478</v>
      </c>
      <c r="AJ90" s="204">
        <f t="shared" si="67"/>
        <v>727</v>
      </c>
      <c r="AK90" s="193">
        <v>0</v>
      </c>
      <c r="AL90" s="194">
        <v>0</v>
      </c>
      <c r="AM90" s="195">
        <v>0</v>
      </c>
      <c r="AN90" s="196">
        <v>33</v>
      </c>
      <c r="AO90" s="219">
        <v>0</v>
      </c>
      <c r="AP90" s="220">
        <v>0</v>
      </c>
      <c r="AQ90" s="205">
        <f t="shared" si="75"/>
        <v>33</v>
      </c>
      <c r="AR90" s="206">
        <f t="shared" si="74"/>
        <v>66</v>
      </c>
      <c r="AS90" s="193">
        <v>0</v>
      </c>
      <c r="AT90" s="194">
        <v>0</v>
      </c>
      <c r="AU90" s="195">
        <v>0</v>
      </c>
      <c r="AV90" s="196">
        <v>33</v>
      </c>
      <c r="AW90" s="219">
        <v>0</v>
      </c>
      <c r="AX90" s="220">
        <v>0</v>
      </c>
      <c r="AY90" s="205">
        <f t="shared" si="68"/>
        <v>33</v>
      </c>
      <c r="AZ90" s="206">
        <f t="shared" si="69"/>
        <v>66</v>
      </c>
      <c r="BA90" s="207">
        <f t="shared" si="73"/>
        <v>66</v>
      </c>
      <c r="BB90" s="204">
        <f t="shared" si="73"/>
        <v>132</v>
      </c>
      <c r="BC90" s="208">
        <f t="shared" si="70"/>
        <v>189</v>
      </c>
      <c r="BD90" s="209">
        <f t="shared" si="70"/>
        <v>284</v>
      </c>
      <c r="BE90" s="210">
        <f t="shared" si="71"/>
        <v>355</v>
      </c>
      <c r="BF90" s="211">
        <f t="shared" si="71"/>
        <v>575</v>
      </c>
      <c r="BG90" s="212">
        <f t="shared" si="72"/>
        <v>544</v>
      </c>
      <c r="BH90" s="213">
        <f t="shared" si="72"/>
        <v>859</v>
      </c>
    </row>
    <row r="91" spans="1:60" ht="21.6" thickBot="1" x14ac:dyDescent="0.35">
      <c r="A91" s="214" t="s">
        <v>269</v>
      </c>
      <c r="B91" s="179">
        <v>8</v>
      </c>
      <c r="C91" s="180">
        <v>23</v>
      </c>
      <c r="D91" s="215" t="s">
        <v>65</v>
      </c>
      <c r="E91" s="182" t="s">
        <v>386</v>
      </c>
      <c r="F91" s="281" t="s">
        <v>387</v>
      </c>
      <c r="G91" s="216" t="s">
        <v>388</v>
      </c>
      <c r="H91" s="217" t="s">
        <v>389</v>
      </c>
      <c r="I91" s="217" t="s">
        <v>390</v>
      </c>
      <c r="J91" s="218" t="s">
        <v>391</v>
      </c>
      <c r="K91" s="187">
        <f t="shared" si="57"/>
        <v>0.48958333333575865</v>
      </c>
      <c r="L91" s="188"/>
      <c r="M91" s="189">
        <f t="shared" si="58"/>
        <v>0.48958333333575865</v>
      </c>
      <c r="N91" s="189">
        <f t="shared" si="59"/>
        <v>0.59375</v>
      </c>
      <c r="O91" s="190">
        <f t="shared" si="60"/>
        <v>51.489361701872589</v>
      </c>
      <c r="P91" s="190">
        <f t="shared" si="61"/>
        <v>51.489361701872589</v>
      </c>
      <c r="Q91" s="191">
        <f t="shared" si="62"/>
        <v>42.456140350877192</v>
      </c>
      <c r="R91" s="227" t="s">
        <v>71</v>
      </c>
      <c r="S91" s="193">
        <v>136</v>
      </c>
      <c r="T91" s="194">
        <v>1</v>
      </c>
      <c r="U91" s="195">
        <v>158</v>
      </c>
      <c r="V91" s="196">
        <v>10</v>
      </c>
      <c r="W91" s="219">
        <v>0</v>
      </c>
      <c r="X91" s="220">
        <v>0</v>
      </c>
      <c r="Y91" s="199">
        <f t="shared" si="63"/>
        <v>305</v>
      </c>
      <c r="Z91" s="200">
        <f t="shared" si="64"/>
        <v>473</v>
      </c>
      <c r="AA91" s="193">
        <v>127</v>
      </c>
      <c r="AB91" s="194">
        <v>9</v>
      </c>
      <c r="AC91" s="195">
        <v>117</v>
      </c>
      <c r="AD91" s="201">
        <v>43</v>
      </c>
      <c r="AE91" s="221">
        <v>0</v>
      </c>
      <c r="AF91" s="220">
        <v>4</v>
      </c>
      <c r="AG91" s="199">
        <f t="shared" si="65"/>
        <v>300</v>
      </c>
      <c r="AH91" s="200">
        <f t="shared" si="66"/>
        <v>464</v>
      </c>
      <c r="AI91" s="203">
        <f t="shared" si="67"/>
        <v>605</v>
      </c>
      <c r="AJ91" s="204">
        <f t="shared" si="67"/>
        <v>937</v>
      </c>
      <c r="AK91" s="193"/>
      <c r="AL91" s="194"/>
      <c r="AM91" s="195"/>
      <c r="AN91" s="196"/>
      <c r="AO91" s="219"/>
      <c r="AP91" s="220"/>
      <c r="AQ91" s="205">
        <f t="shared" si="75"/>
        <v>0</v>
      </c>
      <c r="AR91" s="206">
        <f t="shared" si="74"/>
        <v>0</v>
      </c>
      <c r="AS91" s="193"/>
      <c r="AT91" s="194"/>
      <c r="AU91" s="195"/>
      <c r="AV91" s="196"/>
      <c r="AW91" s="219"/>
      <c r="AX91" s="220"/>
      <c r="AY91" s="205">
        <f t="shared" si="68"/>
        <v>0</v>
      </c>
      <c r="AZ91" s="206">
        <f t="shared" si="69"/>
        <v>0</v>
      </c>
      <c r="BA91" s="207">
        <f t="shared" si="73"/>
        <v>0</v>
      </c>
      <c r="BB91" s="204">
        <f t="shared" si="73"/>
        <v>0</v>
      </c>
      <c r="BC91" s="208">
        <f t="shared" si="70"/>
        <v>305</v>
      </c>
      <c r="BD91" s="209">
        <f t="shared" si="70"/>
        <v>473</v>
      </c>
      <c r="BE91" s="210">
        <f t="shared" si="71"/>
        <v>300</v>
      </c>
      <c r="BF91" s="211">
        <f t="shared" si="71"/>
        <v>464</v>
      </c>
      <c r="BG91" s="212">
        <f t="shared" si="72"/>
        <v>605</v>
      </c>
      <c r="BH91" s="213">
        <f t="shared" si="72"/>
        <v>937</v>
      </c>
    </row>
    <row r="92" spans="1:60" ht="21.6" thickBot="1" x14ac:dyDescent="0.35">
      <c r="A92" s="214" t="s">
        <v>269</v>
      </c>
      <c r="B92" s="179">
        <v>14</v>
      </c>
      <c r="C92" s="180">
        <v>24</v>
      </c>
      <c r="D92" s="215" t="s">
        <v>51</v>
      </c>
      <c r="E92" s="182" t="s">
        <v>392</v>
      </c>
      <c r="F92" s="281" t="s">
        <v>387</v>
      </c>
      <c r="G92" s="216" t="s">
        <v>393</v>
      </c>
      <c r="H92" s="217" t="s">
        <v>394</v>
      </c>
      <c r="I92" s="217" t="s">
        <v>395</v>
      </c>
      <c r="J92" s="218" t="s">
        <v>396</v>
      </c>
      <c r="K92" s="187">
        <f t="shared" si="57"/>
        <v>0.51180555555038154</v>
      </c>
      <c r="L92" s="222">
        <v>1.3888888890505768E-2</v>
      </c>
      <c r="M92" s="189">
        <f t="shared" si="58"/>
        <v>0.49791666665987577</v>
      </c>
      <c r="N92" s="189">
        <f t="shared" si="59"/>
        <v>0.55208333333575865</v>
      </c>
      <c r="O92" s="190">
        <f t="shared" si="60"/>
        <v>47.782426778894369</v>
      </c>
      <c r="P92" s="190">
        <f t="shared" si="61"/>
        <v>46.485753053387178</v>
      </c>
      <c r="Q92" s="191">
        <f t="shared" si="62"/>
        <v>43.094339622452196</v>
      </c>
      <c r="R92" s="192" t="s">
        <v>57</v>
      </c>
      <c r="S92" s="193">
        <v>121</v>
      </c>
      <c r="T92" s="194">
        <v>77</v>
      </c>
      <c r="U92" s="195">
        <v>75</v>
      </c>
      <c r="V92" s="196">
        <v>10</v>
      </c>
      <c r="W92" s="219">
        <v>0</v>
      </c>
      <c r="X92" s="220">
        <v>7</v>
      </c>
      <c r="Y92" s="199">
        <f t="shared" si="63"/>
        <v>290</v>
      </c>
      <c r="Z92" s="200">
        <f t="shared" si="64"/>
        <v>382</v>
      </c>
      <c r="AA92" s="193">
        <v>191</v>
      </c>
      <c r="AB92" s="194">
        <v>0</v>
      </c>
      <c r="AC92" s="195">
        <v>67</v>
      </c>
      <c r="AD92" s="201">
        <v>2</v>
      </c>
      <c r="AE92" s="221">
        <v>0</v>
      </c>
      <c r="AF92" s="220">
        <v>21</v>
      </c>
      <c r="AG92" s="199">
        <f t="shared" si="65"/>
        <v>281</v>
      </c>
      <c r="AH92" s="200">
        <f t="shared" si="66"/>
        <v>371</v>
      </c>
      <c r="AI92" s="203">
        <f t="shared" si="67"/>
        <v>571</v>
      </c>
      <c r="AJ92" s="204">
        <f t="shared" si="67"/>
        <v>753</v>
      </c>
      <c r="AK92" s="193"/>
      <c r="AL92" s="194"/>
      <c r="AM92" s="195"/>
      <c r="AN92" s="196"/>
      <c r="AO92" s="219"/>
      <c r="AP92" s="220"/>
      <c r="AQ92" s="205">
        <f t="shared" si="75"/>
        <v>0</v>
      </c>
      <c r="AR92" s="206">
        <f t="shared" si="74"/>
        <v>0</v>
      </c>
      <c r="AS92" s="193"/>
      <c r="AT92" s="194"/>
      <c r="AU92" s="195"/>
      <c r="AV92" s="196"/>
      <c r="AW92" s="219"/>
      <c r="AX92" s="220"/>
      <c r="AY92" s="205">
        <f t="shared" si="68"/>
        <v>0</v>
      </c>
      <c r="AZ92" s="206">
        <f t="shared" si="69"/>
        <v>0</v>
      </c>
      <c r="BA92" s="207">
        <f t="shared" si="73"/>
        <v>0</v>
      </c>
      <c r="BB92" s="204">
        <f t="shared" si="73"/>
        <v>0</v>
      </c>
      <c r="BC92" s="208">
        <f t="shared" si="70"/>
        <v>290</v>
      </c>
      <c r="BD92" s="209">
        <f t="shared" si="70"/>
        <v>382</v>
      </c>
      <c r="BE92" s="210">
        <f t="shared" si="71"/>
        <v>281</v>
      </c>
      <c r="BF92" s="211">
        <f t="shared" si="71"/>
        <v>371</v>
      </c>
      <c r="BG92" s="212">
        <f t="shared" si="72"/>
        <v>571</v>
      </c>
      <c r="BH92" s="213">
        <f t="shared" si="72"/>
        <v>753</v>
      </c>
    </row>
    <row r="93" spans="1:60" ht="21.6" thickBot="1" x14ac:dyDescent="0.35">
      <c r="A93" s="214" t="s">
        <v>269</v>
      </c>
      <c r="B93" s="179">
        <v>9</v>
      </c>
      <c r="C93" s="180">
        <v>25</v>
      </c>
      <c r="D93" s="303" t="s">
        <v>79</v>
      </c>
      <c r="E93" s="182" t="s">
        <v>397</v>
      </c>
      <c r="F93" s="183" t="s">
        <v>387</v>
      </c>
      <c r="G93" s="216" t="s">
        <v>398</v>
      </c>
      <c r="H93" s="217" t="s">
        <v>399</v>
      </c>
      <c r="I93" s="217" t="s">
        <v>400</v>
      </c>
      <c r="J93" s="218" t="s">
        <v>401</v>
      </c>
      <c r="K93" s="187">
        <f t="shared" si="57"/>
        <v>0.44374999999854481</v>
      </c>
      <c r="L93" s="188"/>
      <c r="M93" s="189">
        <f t="shared" si="58"/>
        <v>0.44374999999854481</v>
      </c>
      <c r="N93" s="189">
        <f t="shared" si="59"/>
        <v>0.48263888889050577</v>
      </c>
      <c r="O93" s="190">
        <f t="shared" si="60"/>
        <v>59.342723004889443</v>
      </c>
      <c r="P93" s="190">
        <f t="shared" si="61"/>
        <v>59.342723004889443</v>
      </c>
      <c r="Q93" s="191">
        <f t="shared" si="62"/>
        <v>54.561151078953905</v>
      </c>
      <c r="R93" s="227" t="s">
        <v>71</v>
      </c>
      <c r="S93" s="193">
        <v>137</v>
      </c>
      <c r="T93" s="194">
        <v>2</v>
      </c>
      <c r="U93" s="195">
        <v>157</v>
      </c>
      <c r="V93" s="196">
        <v>17</v>
      </c>
      <c r="W93" s="232">
        <v>0</v>
      </c>
      <c r="X93" s="233">
        <v>3</v>
      </c>
      <c r="Y93" s="199">
        <f t="shared" si="63"/>
        <v>316</v>
      </c>
      <c r="Z93" s="200">
        <f t="shared" si="64"/>
        <v>493</v>
      </c>
      <c r="AA93" s="193">
        <v>130</v>
      </c>
      <c r="AB93" s="194">
        <v>10</v>
      </c>
      <c r="AC93" s="195">
        <v>123</v>
      </c>
      <c r="AD93" s="201">
        <v>49</v>
      </c>
      <c r="AE93" s="234">
        <v>0</v>
      </c>
      <c r="AF93" s="233">
        <v>4</v>
      </c>
      <c r="AG93" s="199">
        <f t="shared" si="65"/>
        <v>316</v>
      </c>
      <c r="AH93" s="200">
        <f t="shared" si="66"/>
        <v>492</v>
      </c>
      <c r="AI93" s="203">
        <f t="shared" si="67"/>
        <v>632</v>
      </c>
      <c r="AJ93" s="204">
        <f t="shared" si="67"/>
        <v>985</v>
      </c>
      <c r="AK93" s="193"/>
      <c r="AL93" s="194"/>
      <c r="AM93" s="195"/>
      <c r="AN93" s="196"/>
      <c r="AO93" s="232"/>
      <c r="AP93" s="233"/>
      <c r="AQ93" s="205">
        <f t="shared" si="75"/>
        <v>0</v>
      </c>
      <c r="AR93" s="206">
        <f t="shared" si="74"/>
        <v>0</v>
      </c>
      <c r="AS93" s="193"/>
      <c r="AT93" s="194"/>
      <c r="AU93" s="195"/>
      <c r="AV93" s="196"/>
      <c r="AW93" s="232"/>
      <c r="AX93" s="233"/>
      <c r="AY93" s="205">
        <f t="shared" si="68"/>
        <v>0</v>
      </c>
      <c r="AZ93" s="206">
        <f t="shared" si="69"/>
        <v>0</v>
      </c>
      <c r="BA93" s="207">
        <f t="shared" si="73"/>
        <v>0</v>
      </c>
      <c r="BB93" s="204">
        <f t="shared" si="73"/>
        <v>0</v>
      </c>
      <c r="BC93" s="208">
        <f t="shared" si="70"/>
        <v>316</v>
      </c>
      <c r="BD93" s="209">
        <f t="shared" si="70"/>
        <v>493</v>
      </c>
      <c r="BE93" s="210">
        <f t="shared" si="71"/>
        <v>316</v>
      </c>
      <c r="BF93" s="211">
        <f t="shared" si="71"/>
        <v>492</v>
      </c>
      <c r="BG93" s="212">
        <f t="shared" si="72"/>
        <v>632</v>
      </c>
      <c r="BH93" s="213">
        <f t="shared" si="72"/>
        <v>985</v>
      </c>
    </row>
    <row r="94" spans="1:60" ht="20.25" hidden="1" customHeight="1" thickBot="1" x14ac:dyDescent="0.35">
      <c r="A94" s="214" t="s">
        <v>269</v>
      </c>
      <c r="B94" s="228"/>
      <c r="C94" s="180"/>
      <c r="D94" s="215"/>
      <c r="E94" s="182"/>
      <c r="F94" s="183"/>
      <c r="G94" s="216"/>
      <c r="H94" s="217"/>
      <c r="I94" s="217"/>
      <c r="J94" s="218"/>
      <c r="K94" s="223">
        <f t="shared" si="57"/>
        <v>0</v>
      </c>
      <c r="L94" s="222"/>
      <c r="M94" s="229"/>
      <c r="N94" s="229">
        <f t="shared" si="59"/>
        <v>0</v>
      </c>
      <c r="O94" s="230"/>
      <c r="P94" s="230"/>
      <c r="Q94" s="231"/>
      <c r="R94" s="192"/>
      <c r="S94" s="193"/>
      <c r="T94" s="194"/>
      <c r="U94" s="195"/>
      <c r="V94" s="196"/>
      <c r="W94" s="232"/>
      <c r="X94" s="233"/>
      <c r="Y94" s="199">
        <f t="shared" si="63"/>
        <v>0</v>
      </c>
      <c r="Z94" s="200">
        <f t="shared" si="64"/>
        <v>0</v>
      </c>
      <c r="AA94" s="193"/>
      <c r="AB94" s="194"/>
      <c r="AC94" s="195"/>
      <c r="AD94" s="201"/>
      <c r="AE94" s="234"/>
      <c r="AF94" s="233"/>
      <c r="AG94" s="199">
        <f t="shared" si="65"/>
        <v>0</v>
      </c>
      <c r="AH94" s="200">
        <f t="shared" si="66"/>
        <v>0</v>
      </c>
      <c r="AI94" s="203">
        <f t="shared" si="67"/>
        <v>0</v>
      </c>
      <c r="AJ94" s="204">
        <f t="shared" si="67"/>
        <v>0</v>
      </c>
      <c r="AK94" s="193"/>
      <c r="AL94" s="194"/>
      <c r="AM94" s="195"/>
      <c r="AN94" s="196"/>
      <c r="AO94" s="232"/>
      <c r="AP94" s="233"/>
      <c r="AQ94" s="205">
        <f t="shared" si="75"/>
        <v>0</v>
      </c>
      <c r="AR94" s="206">
        <f t="shared" si="74"/>
        <v>0</v>
      </c>
      <c r="AS94" s="193"/>
      <c r="AT94" s="194"/>
      <c r="AU94" s="195"/>
      <c r="AV94" s="196"/>
      <c r="AW94" s="232"/>
      <c r="AX94" s="233"/>
      <c r="AY94" s="205">
        <f t="shared" si="68"/>
        <v>0</v>
      </c>
      <c r="AZ94" s="206">
        <f t="shared" si="69"/>
        <v>0</v>
      </c>
      <c r="BA94" s="207">
        <f t="shared" ref="BA94:BB109" si="76">AQ94+AY94</f>
        <v>0</v>
      </c>
      <c r="BB94" s="204">
        <f t="shared" si="76"/>
        <v>0</v>
      </c>
      <c r="BC94" s="208">
        <f t="shared" si="70"/>
        <v>0</v>
      </c>
      <c r="BD94" s="209">
        <f t="shared" si="70"/>
        <v>0</v>
      </c>
      <c r="BE94" s="210">
        <f t="shared" si="71"/>
        <v>0</v>
      </c>
      <c r="BF94" s="211">
        <f t="shared" si="71"/>
        <v>0</v>
      </c>
      <c r="BG94" s="212">
        <f t="shared" si="72"/>
        <v>0</v>
      </c>
      <c r="BH94" s="213">
        <f t="shared" si="72"/>
        <v>0</v>
      </c>
    </row>
    <row r="95" spans="1:60" ht="20.25" hidden="1" customHeight="1" thickBot="1" x14ac:dyDescent="0.35">
      <c r="A95" s="214" t="s">
        <v>269</v>
      </c>
      <c r="B95" s="228"/>
      <c r="C95" s="180"/>
      <c r="D95" s="215"/>
      <c r="E95" s="182"/>
      <c r="F95" s="183"/>
      <c r="G95" s="216"/>
      <c r="H95" s="217"/>
      <c r="I95" s="217"/>
      <c r="J95" s="218"/>
      <c r="K95" s="223">
        <f t="shared" si="57"/>
        <v>0</v>
      </c>
      <c r="L95" s="222"/>
      <c r="M95" s="229"/>
      <c r="N95" s="229">
        <f t="shared" si="59"/>
        <v>0</v>
      </c>
      <c r="O95" s="230"/>
      <c r="P95" s="230"/>
      <c r="Q95" s="231"/>
      <c r="R95" s="192"/>
      <c r="S95" s="193"/>
      <c r="T95" s="194"/>
      <c r="U95" s="195"/>
      <c r="V95" s="196"/>
      <c r="W95" s="232"/>
      <c r="X95" s="233"/>
      <c r="Y95" s="199">
        <f t="shared" si="63"/>
        <v>0</v>
      </c>
      <c r="Z95" s="200">
        <f t="shared" si="64"/>
        <v>0</v>
      </c>
      <c r="AA95" s="193"/>
      <c r="AB95" s="194"/>
      <c r="AC95" s="195"/>
      <c r="AD95" s="201"/>
      <c r="AE95" s="234"/>
      <c r="AF95" s="233"/>
      <c r="AG95" s="199">
        <f t="shared" si="65"/>
        <v>0</v>
      </c>
      <c r="AH95" s="200">
        <f t="shared" si="66"/>
        <v>0</v>
      </c>
      <c r="AI95" s="203">
        <f t="shared" si="67"/>
        <v>0</v>
      </c>
      <c r="AJ95" s="204">
        <f t="shared" si="67"/>
        <v>0</v>
      </c>
      <c r="AK95" s="193"/>
      <c r="AL95" s="194"/>
      <c r="AM95" s="195"/>
      <c r="AN95" s="196"/>
      <c r="AO95" s="232"/>
      <c r="AP95" s="233"/>
      <c r="AQ95" s="205">
        <f>SUM(AK95:AP95)</f>
        <v>0</v>
      </c>
      <c r="AR95" s="206">
        <f>AQ95+SUM(AM95:AN95)+AP95</f>
        <v>0</v>
      </c>
      <c r="AS95" s="193"/>
      <c r="AT95" s="194"/>
      <c r="AU95" s="195"/>
      <c r="AV95" s="196"/>
      <c r="AW95" s="232"/>
      <c r="AX95" s="233"/>
      <c r="AY95" s="205">
        <f>SUM(AS95:AX95)</f>
        <v>0</v>
      </c>
      <c r="AZ95" s="206">
        <f t="shared" si="69"/>
        <v>0</v>
      </c>
      <c r="BA95" s="207">
        <f t="shared" si="76"/>
        <v>0</v>
      </c>
      <c r="BB95" s="204">
        <f t="shared" si="76"/>
        <v>0</v>
      </c>
      <c r="BC95" s="208">
        <f t="shared" si="70"/>
        <v>0</v>
      </c>
      <c r="BD95" s="209">
        <f t="shared" si="70"/>
        <v>0</v>
      </c>
      <c r="BE95" s="210">
        <f t="shared" si="71"/>
        <v>0</v>
      </c>
      <c r="BF95" s="211">
        <f t="shared" si="71"/>
        <v>0</v>
      </c>
      <c r="BG95" s="212">
        <f t="shared" si="72"/>
        <v>0</v>
      </c>
      <c r="BH95" s="213">
        <f t="shared" si="72"/>
        <v>0</v>
      </c>
    </row>
    <row r="96" spans="1:60" ht="20.25" hidden="1" customHeight="1" thickBot="1" x14ac:dyDescent="0.35">
      <c r="A96" s="214" t="s">
        <v>269</v>
      </c>
      <c r="B96" s="228"/>
      <c r="C96" s="180"/>
      <c r="D96" s="215"/>
      <c r="E96" s="182"/>
      <c r="F96" s="183"/>
      <c r="G96" s="216"/>
      <c r="H96" s="217"/>
      <c r="I96" s="217"/>
      <c r="J96" s="218"/>
      <c r="K96" s="223">
        <f t="shared" si="57"/>
        <v>0</v>
      </c>
      <c r="L96" s="222"/>
      <c r="M96" s="229"/>
      <c r="N96" s="229">
        <f t="shared" si="59"/>
        <v>0</v>
      </c>
      <c r="O96" s="230"/>
      <c r="P96" s="230"/>
      <c r="Q96" s="231"/>
      <c r="R96" s="192"/>
      <c r="S96" s="193"/>
      <c r="T96" s="194"/>
      <c r="U96" s="195"/>
      <c r="V96" s="196"/>
      <c r="W96" s="232"/>
      <c r="X96" s="233"/>
      <c r="Y96" s="199">
        <f t="shared" si="63"/>
        <v>0</v>
      </c>
      <c r="Z96" s="200">
        <f t="shared" si="64"/>
        <v>0</v>
      </c>
      <c r="AA96" s="193"/>
      <c r="AB96" s="194"/>
      <c r="AC96" s="195"/>
      <c r="AD96" s="201"/>
      <c r="AE96" s="234"/>
      <c r="AF96" s="233"/>
      <c r="AG96" s="199">
        <f t="shared" si="65"/>
        <v>0</v>
      </c>
      <c r="AH96" s="200">
        <f t="shared" si="66"/>
        <v>0</v>
      </c>
      <c r="AI96" s="203">
        <f t="shared" si="67"/>
        <v>0</v>
      </c>
      <c r="AJ96" s="204">
        <f t="shared" si="67"/>
        <v>0</v>
      </c>
      <c r="AK96" s="193"/>
      <c r="AL96" s="194"/>
      <c r="AM96" s="195"/>
      <c r="AN96" s="196"/>
      <c r="AO96" s="232"/>
      <c r="AP96" s="233"/>
      <c r="AQ96" s="205">
        <f>SUM(AK96:AP96)</f>
        <v>0</v>
      </c>
      <c r="AR96" s="206">
        <f>AQ96+SUM(AM96:AN96)+AP96</f>
        <v>0</v>
      </c>
      <c r="AS96" s="193"/>
      <c r="AT96" s="194"/>
      <c r="AU96" s="195"/>
      <c r="AV96" s="196"/>
      <c r="AW96" s="232"/>
      <c r="AX96" s="233"/>
      <c r="AY96" s="205">
        <f>SUM(AS96:AX96)</f>
        <v>0</v>
      </c>
      <c r="AZ96" s="206">
        <f>AY96+SUM(AU96:AV96)+AX96</f>
        <v>0</v>
      </c>
      <c r="BA96" s="207">
        <f t="shared" si="76"/>
        <v>0</v>
      </c>
      <c r="BB96" s="204">
        <f t="shared" si="76"/>
        <v>0</v>
      </c>
      <c r="BC96" s="208">
        <f t="shared" si="70"/>
        <v>0</v>
      </c>
      <c r="BD96" s="209">
        <f t="shared" si="70"/>
        <v>0</v>
      </c>
      <c r="BE96" s="210">
        <f t="shared" si="71"/>
        <v>0</v>
      </c>
      <c r="BF96" s="211">
        <f t="shared" si="71"/>
        <v>0</v>
      </c>
      <c r="BG96" s="212">
        <f t="shared" si="72"/>
        <v>0</v>
      </c>
      <c r="BH96" s="213">
        <f t="shared" si="72"/>
        <v>0</v>
      </c>
    </row>
    <row r="97" spans="1:60" ht="15" hidden="1" customHeight="1" thickBot="1" x14ac:dyDescent="0.35">
      <c r="A97" s="235" t="s">
        <v>269</v>
      </c>
      <c r="B97" s="228"/>
      <c r="C97" s="180"/>
      <c r="D97" s="215"/>
      <c r="E97" s="182"/>
      <c r="F97" s="183"/>
      <c r="G97" s="236"/>
      <c r="H97" s="237"/>
      <c r="I97" s="237"/>
      <c r="J97" s="238"/>
      <c r="K97" s="223">
        <f t="shared" si="57"/>
        <v>0</v>
      </c>
      <c r="L97" s="222"/>
      <c r="M97" s="229"/>
      <c r="N97" s="229">
        <f t="shared" si="59"/>
        <v>0</v>
      </c>
      <c r="O97" s="230"/>
      <c r="P97" s="230"/>
      <c r="Q97" s="231"/>
      <c r="R97" s="192"/>
      <c r="S97" s="239"/>
      <c r="T97" s="240"/>
      <c r="U97" s="241"/>
      <c r="V97" s="242"/>
      <c r="W97" s="243"/>
      <c r="X97" s="244"/>
      <c r="Y97" s="245">
        <f t="shared" si="63"/>
        <v>0</v>
      </c>
      <c r="Z97" s="200">
        <f t="shared" si="64"/>
        <v>0</v>
      </c>
      <c r="AA97" s="239"/>
      <c r="AB97" s="240"/>
      <c r="AC97" s="241"/>
      <c r="AD97" s="246"/>
      <c r="AE97" s="247"/>
      <c r="AF97" s="244"/>
      <c r="AG97" s="245">
        <f t="shared" si="65"/>
        <v>0</v>
      </c>
      <c r="AH97" s="200">
        <f t="shared" si="66"/>
        <v>0</v>
      </c>
      <c r="AI97" s="248">
        <f t="shared" si="67"/>
        <v>0</v>
      </c>
      <c r="AJ97" s="249">
        <f t="shared" si="67"/>
        <v>0</v>
      </c>
      <c r="AK97" s="193"/>
      <c r="AL97" s="194"/>
      <c r="AM97" s="195"/>
      <c r="AN97" s="196"/>
      <c r="AO97" s="243"/>
      <c r="AP97" s="244"/>
      <c r="AQ97" s="205">
        <f>SUM(AK97:AP97)</f>
        <v>0</v>
      </c>
      <c r="AR97" s="206">
        <f>AQ97+SUM(AM97:AN97)+AP97</f>
        <v>0</v>
      </c>
      <c r="AS97" s="193"/>
      <c r="AT97" s="194"/>
      <c r="AU97" s="195"/>
      <c r="AV97" s="196"/>
      <c r="AW97" s="243"/>
      <c r="AX97" s="244"/>
      <c r="AY97" s="205">
        <f>SUM(AS97:AX97)</f>
        <v>0</v>
      </c>
      <c r="AZ97" s="206">
        <f>AY97+SUM(AU97:AV97)+AX97</f>
        <v>0</v>
      </c>
      <c r="BA97" s="207">
        <f t="shared" si="76"/>
        <v>0</v>
      </c>
      <c r="BB97" s="204">
        <f t="shared" si="76"/>
        <v>0</v>
      </c>
      <c r="BC97" s="208">
        <f t="shared" si="70"/>
        <v>0</v>
      </c>
      <c r="BD97" s="209">
        <f t="shared" si="70"/>
        <v>0</v>
      </c>
      <c r="BE97" s="210">
        <f t="shared" si="71"/>
        <v>0</v>
      </c>
      <c r="BF97" s="211">
        <f t="shared" si="71"/>
        <v>0</v>
      </c>
      <c r="BG97" s="212">
        <f t="shared" si="72"/>
        <v>0</v>
      </c>
      <c r="BH97" s="213">
        <f t="shared" si="72"/>
        <v>0</v>
      </c>
    </row>
    <row r="98" spans="1:60" s="153" customFormat="1" ht="23.4" thickBot="1" x14ac:dyDescent="0.35">
      <c r="A98" s="154" t="s">
        <v>402</v>
      </c>
      <c r="B98" s="250" t="s">
        <v>402</v>
      </c>
      <c r="C98" s="251" t="s">
        <v>2</v>
      </c>
      <c r="D98" s="252" t="s">
        <v>41</v>
      </c>
      <c r="E98" s="253" t="s">
        <v>403</v>
      </c>
      <c r="F98" s="159" t="s">
        <v>5</v>
      </c>
      <c r="G98" s="160" t="s">
        <v>6</v>
      </c>
      <c r="H98" s="161" t="s">
        <v>7</v>
      </c>
      <c r="I98" s="161" t="s">
        <v>8</v>
      </c>
      <c r="J98" s="162" t="s">
        <v>9</v>
      </c>
      <c r="K98" s="163" t="s">
        <v>38</v>
      </c>
      <c r="L98" s="164" t="s">
        <v>38</v>
      </c>
      <c r="M98" s="165" t="s">
        <v>38</v>
      </c>
      <c r="N98" s="166" t="s">
        <v>38</v>
      </c>
      <c r="O98" s="165" t="s">
        <v>39</v>
      </c>
      <c r="P98" s="165" t="s">
        <v>39</v>
      </c>
      <c r="Q98" s="254" t="s">
        <v>39</v>
      </c>
      <c r="R98" s="168" t="s">
        <v>17</v>
      </c>
      <c r="S98" s="169">
        <f t="shared" ref="S98:X98" si="77">SUM(S99:S127)</f>
        <v>3327</v>
      </c>
      <c r="T98" s="170">
        <f t="shared" si="77"/>
        <v>1279</v>
      </c>
      <c r="U98" s="171">
        <f t="shared" si="77"/>
        <v>2243</v>
      </c>
      <c r="V98" s="172">
        <f t="shared" si="77"/>
        <v>813</v>
      </c>
      <c r="W98" s="173">
        <f t="shared" si="77"/>
        <v>0</v>
      </c>
      <c r="X98" s="174">
        <f t="shared" si="77"/>
        <v>37</v>
      </c>
      <c r="Y98" s="169">
        <f>SUM(S98:X98)</f>
        <v>7699</v>
      </c>
      <c r="Z98" s="175">
        <f>Y98+SUM(U98:V98)+X98</f>
        <v>10792</v>
      </c>
      <c r="AA98" s="169">
        <f t="shared" ref="AA98:AF98" si="78">SUM(AA99:AA127)</f>
        <v>3508</v>
      </c>
      <c r="AB98" s="170">
        <f t="shared" si="78"/>
        <v>477</v>
      </c>
      <c r="AC98" s="171">
        <f t="shared" si="78"/>
        <v>2513</v>
      </c>
      <c r="AD98" s="172">
        <f t="shared" si="78"/>
        <v>866</v>
      </c>
      <c r="AE98" s="173">
        <f t="shared" si="78"/>
        <v>0</v>
      </c>
      <c r="AF98" s="174">
        <f t="shared" si="78"/>
        <v>295</v>
      </c>
      <c r="AG98" s="169">
        <f>SUM(AA98:AF98)</f>
        <v>7659</v>
      </c>
      <c r="AH98" s="175">
        <f>AG98+SUM(AC98:AD98)+AF98</f>
        <v>11333</v>
      </c>
      <c r="AI98" s="169">
        <f t="shared" ref="AI98:AJ127" si="79">Y98+AG98</f>
        <v>15358</v>
      </c>
      <c r="AJ98" s="175">
        <f t="shared" si="79"/>
        <v>22125</v>
      </c>
      <c r="AK98" s="169">
        <f t="shared" ref="AK98:AP98" si="80">SUM(AK99:AK127)</f>
        <v>0</v>
      </c>
      <c r="AL98" s="170">
        <f t="shared" si="80"/>
        <v>0</v>
      </c>
      <c r="AM98" s="171">
        <f t="shared" si="80"/>
        <v>51</v>
      </c>
      <c r="AN98" s="172">
        <f t="shared" si="80"/>
        <v>35</v>
      </c>
      <c r="AO98" s="173">
        <f t="shared" si="80"/>
        <v>0</v>
      </c>
      <c r="AP98" s="174">
        <f t="shared" si="80"/>
        <v>0</v>
      </c>
      <c r="AQ98" s="169">
        <f>SUM(AK98:AP98)</f>
        <v>86</v>
      </c>
      <c r="AR98" s="175">
        <f>AQ98+SUM(AM98:AN98)+AP98</f>
        <v>172</v>
      </c>
      <c r="AS98" s="169">
        <f t="shared" ref="AS98:AX98" si="81">SUM(AS99:AS127)</f>
        <v>0</v>
      </c>
      <c r="AT98" s="170">
        <f t="shared" si="81"/>
        <v>0</v>
      </c>
      <c r="AU98" s="171">
        <f t="shared" si="81"/>
        <v>51</v>
      </c>
      <c r="AV98" s="172">
        <f t="shared" si="81"/>
        <v>35</v>
      </c>
      <c r="AW98" s="173">
        <f t="shared" si="81"/>
        <v>0</v>
      </c>
      <c r="AX98" s="174">
        <f t="shared" si="81"/>
        <v>0</v>
      </c>
      <c r="AY98" s="169">
        <f>SUM(AS98:AX98)</f>
        <v>86</v>
      </c>
      <c r="AZ98" s="175">
        <f>AY98+SUM(AU98:AV98)+AX98</f>
        <v>172</v>
      </c>
      <c r="BA98" s="169">
        <f t="shared" si="76"/>
        <v>172</v>
      </c>
      <c r="BB98" s="170">
        <f t="shared" si="76"/>
        <v>344</v>
      </c>
      <c r="BC98" s="169">
        <f t="shared" ref="BC98:BD127" si="82">Y98+AQ98</f>
        <v>7785</v>
      </c>
      <c r="BD98" s="170">
        <f t="shared" si="82"/>
        <v>10964</v>
      </c>
      <c r="BE98" s="169">
        <f t="shared" ref="BE98:BF127" si="83">AG98+AY98</f>
        <v>7745</v>
      </c>
      <c r="BF98" s="176">
        <f t="shared" si="83"/>
        <v>11505</v>
      </c>
      <c r="BG98" s="169">
        <f t="shared" ref="BG98:BH127" si="84">BC98+BE98</f>
        <v>15530</v>
      </c>
      <c r="BH98" s="170">
        <f t="shared" si="84"/>
        <v>22469</v>
      </c>
    </row>
    <row r="99" spans="1:60" ht="21.6" thickBot="1" x14ac:dyDescent="0.35">
      <c r="A99" s="178" t="s">
        <v>402</v>
      </c>
      <c r="B99" s="179">
        <v>1</v>
      </c>
      <c r="C99" s="180">
        <v>1</v>
      </c>
      <c r="D99" s="215" t="s">
        <v>72</v>
      </c>
      <c r="E99" s="182" t="s">
        <v>404</v>
      </c>
      <c r="F99" s="183" t="s">
        <v>243</v>
      </c>
      <c r="G99" s="224" t="s">
        <v>405</v>
      </c>
      <c r="H99" s="225" t="s">
        <v>406</v>
      </c>
      <c r="I99" s="225" t="s">
        <v>407</v>
      </c>
      <c r="J99" s="226" t="s">
        <v>408</v>
      </c>
      <c r="K99" s="187">
        <f>I99-H99</f>
        <v>1.5215277777751908</v>
      </c>
      <c r="L99" s="222">
        <v>0.60763888889050577</v>
      </c>
      <c r="M99" s="189">
        <f t="shared" ref="M99:M123" si="85">K99-L99</f>
        <v>0.913888888884685</v>
      </c>
      <c r="N99" s="189">
        <f t="shared" ref="N99:N127" si="86">J99-G99</f>
        <v>1.6666666666715173</v>
      </c>
      <c r="O99" s="190">
        <f t="shared" ref="O99:O123" si="87">BG99/M99/24</f>
        <v>33.282674772189573</v>
      </c>
      <c r="P99" s="190">
        <f t="shared" ref="P99:P123" si="88">BG99/K99/24</f>
        <v>19.990871748094236</v>
      </c>
      <c r="Q99" s="191">
        <f t="shared" ref="Q99:Q123" si="89">BG99/N99/24</f>
        <v>18.249999999946883</v>
      </c>
      <c r="R99" s="192" t="s">
        <v>57</v>
      </c>
      <c r="S99" s="193">
        <v>157</v>
      </c>
      <c r="T99" s="194">
        <v>80</v>
      </c>
      <c r="U99" s="195">
        <v>92</v>
      </c>
      <c r="V99" s="196">
        <v>0</v>
      </c>
      <c r="W99" s="197">
        <v>0</v>
      </c>
      <c r="X99" s="198">
        <v>0</v>
      </c>
      <c r="Y99" s="199">
        <f>SUM(S99:X99)</f>
        <v>329</v>
      </c>
      <c r="Z99" s="200">
        <f>Y99+SUM(U99:V99)+X99</f>
        <v>421</v>
      </c>
      <c r="AA99" s="193">
        <v>253</v>
      </c>
      <c r="AB99" s="194">
        <v>0</v>
      </c>
      <c r="AC99" s="195">
        <v>122</v>
      </c>
      <c r="AD99" s="201">
        <v>10</v>
      </c>
      <c r="AE99" s="202">
        <v>0</v>
      </c>
      <c r="AF99" s="198">
        <v>16</v>
      </c>
      <c r="AG99" s="199">
        <f t="shared" ref="AG99:AG127" si="90">SUM(AA99:AF99)</f>
        <v>401</v>
      </c>
      <c r="AH99" s="200">
        <f t="shared" ref="AH99:AH127" si="91">AG99+SUM(AC99:AD99)+AF99</f>
        <v>549</v>
      </c>
      <c r="AI99" s="203">
        <f t="shared" si="79"/>
        <v>730</v>
      </c>
      <c r="AJ99" s="204">
        <f t="shared" si="79"/>
        <v>970</v>
      </c>
      <c r="AK99" s="193"/>
      <c r="AL99" s="194"/>
      <c r="AM99" s="195"/>
      <c r="AN99" s="196"/>
      <c r="AO99" s="197"/>
      <c r="AP99" s="198"/>
      <c r="AQ99" s="205">
        <f t="shared" ref="AQ99:AQ127" si="92">SUM(AK99:AP99)</f>
        <v>0</v>
      </c>
      <c r="AR99" s="206">
        <f t="shared" ref="AR99:AR127" si="93">AQ99+SUM(AM99:AN99)+AP99</f>
        <v>0</v>
      </c>
      <c r="AS99" s="193"/>
      <c r="AT99" s="194"/>
      <c r="AU99" s="195"/>
      <c r="AV99" s="196"/>
      <c r="AW99" s="197"/>
      <c r="AX99" s="198"/>
      <c r="AY99" s="205">
        <f t="shared" ref="AY99:AY127" si="94">SUM(AS99:AX99)</f>
        <v>0</v>
      </c>
      <c r="AZ99" s="206">
        <f t="shared" ref="AZ99:AZ127" si="95">AY99+SUM(AU99:AV99)+AX99</f>
        <v>0</v>
      </c>
      <c r="BA99" s="207">
        <f t="shared" si="76"/>
        <v>0</v>
      </c>
      <c r="BB99" s="204">
        <f t="shared" si="76"/>
        <v>0</v>
      </c>
      <c r="BC99" s="208">
        <f t="shared" si="82"/>
        <v>329</v>
      </c>
      <c r="BD99" s="209">
        <f t="shared" si="82"/>
        <v>421</v>
      </c>
      <c r="BE99" s="210">
        <f t="shared" si="83"/>
        <v>401</v>
      </c>
      <c r="BF99" s="211">
        <f t="shared" si="83"/>
        <v>549</v>
      </c>
      <c r="BG99" s="212">
        <f t="shared" si="84"/>
        <v>730</v>
      </c>
      <c r="BH99" s="213">
        <f t="shared" si="84"/>
        <v>970</v>
      </c>
    </row>
    <row r="100" spans="1:60" ht="21.6" thickBot="1" x14ac:dyDescent="0.35">
      <c r="A100" s="214" t="s">
        <v>402</v>
      </c>
      <c r="B100" s="179">
        <v>2</v>
      </c>
      <c r="C100" s="180">
        <v>2</v>
      </c>
      <c r="D100" s="215" t="s">
        <v>231</v>
      </c>
      <c r="E100" s="182" t="s">
        <v>409</v>
      </c>
      <c r="F100" s="281" t="s">
        <v>277</v>
      </c>
      <c r="G100" s="216" t="s">
        <v>410</v>
      </c>
      <c r="H100" s="217" t="s">
        <v>411</v>
      </c>
      <c r="I100" s="217" t="s">
        <v>412</v>
      </c>
      <c r="J100" s="218" t="s">
        <v>412</v>
      </c>
      <c r="K100" s="223">
        <f>I100-H100</f>
        <v>0.51388888889050577</v>
      </c>
      <c r="L100" s="222"/>
      <c r="M100" s="189">
        <f t="shared" si="85"/>
        <v>0.51388888889050577</v>
      </c>
      <c r="N100" s="189">
        <f t="shared" si="86"/>
        <v>0.53819444444525288</v>
      </c>
      <c r="O100" s="190">
        <f t="shared" si="87"/>
        <v>53.999999999830095</v>
      </c>
      <c r="P100" s="190">
        <f t="shared" si="88"/>
        <v>53.999999999830095</v>
      </c>
      <c r="Q100" s="191">
        <f t="shared" si="89"/>
        <v>51.561290322503197</v>
      </c>
      <c r="R100" s="192" t="s">
        <v>57</v>
      </c>
      <c r="S100" s="193">
        <v>187</v>
      </c>
      <c r="T100" s="194">
        <v>120</v>
      </c>
      <c r="U100" s="195">
        <v>92</v>
      </c>
      <c r="V100" s="196">
        <v>0</v>
      </c>
      <c r="W100" s="219">
        <v>0</v>
      </c>
      <c r="X100" s="220">
        <v>1</v>
      </c>
      <c r="Y100" s="199">
        <f>SUM(S100:X100)</f>
        <v>400</v>
      </c>
      <c r="Z100" s="200">
        <f>Y100+SUM(U100:V100)+X100</f>
        <v>493</v>
      </c>
      <c r="AA100" s="193">
        <v>158</v>
      </c>
      <c r="AB100" s="194">
        <v>0</v>
      </c>
      <c r="AC100" s="195">
        <v>76</v>
      </c>
      <c r="AD100" s="201">
        <v>0</v>
      </c>
      <c r="AE100" s="221">
        <v>0</v>
      </c>
      <c r="AF100" s="220">
        <v>32</v>
      </c>
      <c r="AG100" s="199">
        <f t="shared" si="90"/>
        <v>266</v>
      </c>
      <c r="AH100" s="200">
        <f t="shared" si="91"/>
        <v>374</v>
      </c>
      <c r="AI100" s="203">
        <f t="shared" si="79"/>
        <v>666</v>
      </c>
      <c r="AJ100" s="204">
        <f t="shared" si="79"/>
        <v>867</v>
      </c>
      <c r="AK100" s="193"/>
      <c r="AL100" s="194"/>
      <c r="AM100" s="195"/>
      <c r="AN100" s="196"/>
      <c r="AO100" s="219"/>
      <c r="AP100" s="220"/>
      <c r="AQ100" s="205">
        <f t="shared" si="92"/>
        <v>0</v>
      </c>
      <c r="AR100" s="206">
        <f t="shared" si="93"/>
        <v>0</v>
      </c>
      <c r="AS100" s="193"/>
      <c r="AT100" s="194"/>
      <c r="AU100" s="195"/>
      <c r="AV100" s="196"/>
      <c r="AW100" s="219"/>
      <c r="AX100" s="220"/>
      <c r="AY100" s="205">
        <f t="shared" si="94"/>
        <v>0</v>
      </c>
      <c r="AZ100" s="206">
        <f t="shared" si="95"/>
        <v>0</v>
      </c>
      <c r="BA100" s="207">
        <f t="shared" si="76"/>
        <v>0</v>
      </c>
      <c r="BB100" s="204">
        <f t="shared" si="76"/>
        <v>0</v>
      </c>
      <c r="BC100" s="208">
        <f t="shared" si="82"/>
        <v>400</v>
      </c>
      <c r="BD100" s="209">
        <f t="shared" si="82"/>
        <v>493</v>
      </c>
      <c r="BE100" s="210">
        <f t="shared" si="83"/>
        <v>266</v>
      </c>
      <c r="BF100" s="211">
        <f t="shared" si="83"/>
        <v>374</v>
      </c>
      <c r="BG100" s="212">
        <f t="shared" si="84"/>
        <v>666</v>
      </c>
      <c r="BH100" s="213">
        <f t="shared" si="84"/>
        <v>867</v>
      </c>
    </row>
    <row r="101" spans="1:60" ht="21.6" thickBot="1" x14ac:dyDescent="0.35">
      <c r="A101" s="214" t="s">
        <v>402</v>
      </c>
      <c r="B101" s="179">
        <v>3</v>
      </c>
      <c r="C101" s="180">
        <v>3</v>
      </c>
      <c r="D101" s="215" t="s">
        <v>58</v>
      </c>
      <c r="E101" s="182" t="s">
        <v>413</v>
      </c>
      <c r="F101" s="183" t="s">
        <v>387</v>
      </c>
      <c r="G101" s="216" t="s">
        <v>414</v>
      </c>
      <c r="H101" s="217" t="s">
        <v>415</v>
      </c>
      <c r="I101" s="217" t="s">
        <v>416</v>
      </c>
      <c r="J101" s="218" t="s">
        <v>417</v>
      </c>
      <c r="K101" s="223">
        <f t="shared" ref="K101:K154" si="96">I101-H101</f>
        <v>0.44722222222480923</v>
      </c>
      <c r="L101" s="222"/>
      <c r="M101" s="189">
        <f t="shared" si="85"/>
        <v>0.44722222222480923</v>
      </c>
      <c r="N101" s="189">
        <f t="shared" si="86"/>
        <v>0.48263888889050577</v>
      </c>
      <c r="O101" s="190">
        <f t="shared" si="87"/>
        <v>47.422360248172886</v>
      </c>
      <c r="P101" s="190">
        <f t="shared" si="88"/>
        <v>47.422360248172886</v>
      </c>
      <c r="Q101" s="191">
        <f t="shared" si="89"/>
        <v>43.942446043018258</v>
      </c>
      <c r="R101" s="192" t="s">
        <v>57</v>
      </c>
      <c r="S101" s="193">
        <v>45</v>
      </c>
      <c r="T101" s="194">
        <v>39</v>
      </c>
      <c r="U101" s="195">
        <v>38</v>
      </c>
      <c r="V101" s="196">
        <v>56</v>
      </c>
      <c r="W101" s="219">
        <v>0</v>
      </c>
      <c r="X101" s="220">
        <v>0</v>
      </c>
      <c r="Y101" s="199">
        <f>SUM(S101:X101)</f>
        <v>178</v>
      </c>
      <c r="Z101" s="200">
        <f>Y101+SUM(U101:V101)+X101</f>
        <v>272</v>
      </c>
      <c r="AA101" s="193">
        <v>117</v>
      </c>
      <c r="AB101" s="194">
        <v>0</v>
      </c>
      <c r="AC101" s="195">
        <v>94</v>
      </c>
      <c r="AD101" s="201">
        <v>50</v>
      </c>
      <c r="AE101" s="221">
        <v>0</v>
      </c>
      <c r="AF101" s="220">
        <v>0</v>
      </c>
      <c r="AG101" s="199">
        <f t="shared" si="90"/>
        <v>261</v>
      </c>
      <c r="AH101" s="200">
        <f t="shared" si="91"/>
        <v>405</v>
      </c>
      <c r="AI101" s="203">
        <f t="shared" si="79"/>
        <v>439</v>
      </c>
      <c r="AJ101" s="204">
        <f t="shared" si="79"/>
        <v>677</v>
      </c>
      <c r="AK101" s="193">
        <v>0</v>
      </c>
      <c r="AL101" s="194">
        <v>0</v>
      </c>
      <c r="AM101" s="195">
        <v>0</v>
      </c>
      <c r="AN101" s="196">
        <v>35</v>
      </c>
      <c r="AO101" s="219">
        <v>0</v>
      </c>
      <c r="AP101" s="220">
        <v>0</v>
      </c>
      <c r="AQ101" s="205">
        <f>SUM(AK101:AP101)</f>
        <v>35</v>
      </c>
      <c r="AR101" s="206">
        <f>AQ101+SUM(AM101:AN101)+AP101</f>
        <v>70</v>
      </c>
      <c r="AS101" s="193">
        <v>0</v>
      </c>
      <c r="AT101" s="194">
        <v>0</v>
      </c>
      <c r="AU101" s="195">
        <v>0</v>
      </c>
      <c r="AV101" s="196">
        <v>35</v>
      </c>
      <c r="AW101" s="219">
        <v>0</v>
      </c>
      <c r="AX101" s="220">
        <v>0</v>
      </c>
      <c r="AY101" s="205">
        <f>SUM(AS101:AX101)</f>
        <v>35</v>
      </c>
      <c r="AZ101" s="206">
        <f>AY101+SUM(AU101:AV101)+AX101</f>
        <v>70</v>
      </c>
      <c r="BA101" s="207">
        <f t="shared" si="76"/>
        <v>70</v>
      </c>
      <c r="BB101" s="204">
        <f t="shared" si="76"/>
        <v>140</v>
      </c>
      <c r="BC101" s="208">
        <f t="shared" si="82"/>
        <v>213</v>
      </c>
      <c r="BD101" s="209">
        <f t="shared" si="82"/>
        <v>342</v>
      </c>
      <c r="BE101" s="210">
        <f t="shared" si="83"/>
        <v>296</v>
      </c>
      <c r="BF101" s="211">
        <f t="shared" si="83"/>
        <v>475</v>
      </c>
      <c r="BG101" s="212">
        <f t="shared" si="84"/>
        <v>509</v>
      </c>
      <c r="BH101" s="213">
        <f t="shared" si="84"/>
        <v>817</v>
      </c>
    </row>
    <row r="102" spans="1:60" ht="21.6" thickBot="1" x14ac:dyDescent="0.35">
      <c r="A102" s="214" t="s">
        <v>402</v>
      </c>
      <c r="B102" s="179">
        <v>1</v>
      </c>
      <c r="C102" s="180">
        <v>4</v>
      </c>
      <c r="D102" s="215" t="s">
        <v>65</v>
      </c>
      <c r="E102" s="182" t="s">
        <v>418</v>
      </c>
      <c r="F102" s="281" t="s">
        <v>419</v>
      </c>
      <c r="G102" s="216" t="s">
        <v>420</v>
      </c>
      <c r="H102" s="217" t="s">
        <v>421</v>
      </c>
      <c r="I102" s="217" t="s">
        <v>422</v>
      </c>
      <c r="J102" s="218" t="s">
        <v>423</v>
      </c>
      <c r="K102" s="223">
        <f t="shared" si="96"/>
        <v>0.49930555556056788</v>
      </c>
      <c r="L102" s="222"/>
      <c r="M102" s="189">
        <f t="shared" si="85"/>
        <v>0.49930555556056788</v>
      </c>
      <c r="N102" s="189">
        <f t="shared" si="86"/>
        <v>0.56944444444525288</v>
      </c>
      <c r="O102" s="190">
        <f t="shared" si="87"/>
        <v>49.401947148321881</v>
      </c>
      <c r="P102" s="190">
        <f t="shared" si="88"/>
        <v>49.401947148321881</v>
      </c>
      <c r="Q102" s="191">
        <f t="shared" si="89"/>
        <v>43.317073170670206</v>
      </c>
      <c r="R102" s="227" t="s">
        <v>71</v>
      </c>
      <c r="S102" s="193">
        <v>130</v>
      </c>
      <c r="T102" s="194">
        <v>2</v>
      </c>
      <c r="U102" s="195">
        <v>143</v>
      </c>
      <c r="V102" s="196">
        <v>16</v>
      </c>
      <c r="W102" s="219">
        <v>0</v>
      </c>
      <c r="X102" s="220">
        <v>1</v>
      </c>
      <c r="Y102" s="199">
        <f t="shared" ref="Y102:Y114" si="97">SUM(S102:X102)</f>
        <v>292</v>
      </c>
      <c r="Z102" s="200">
        <f t="shared" ref="Z102:Z127" si="98">Y102+SUM(U102:V102)+X102</f>
        <v>452</v>
      </c>
      <c r="AA102" s="193">
        <v>130</v>
      </c>
      <c r="AB102" s="194">
        <v>8</v>
      </c>
      <c r="AC102" s="195">
        <v>114</v>
      </c>
      <c r="AD102" s="201">
        <v>44</v>
      </c>
      <c r="AE102" s="221">
        <v>0</v>
      </c>
      <c r="AF102" s="220">
        <v>4</v>
      </c>
      <c r="AG102" s="199">
        <f>SUM(AA102:AF102)</f>
        <v>300</v>
      </c>
      <c r="AH102" s="200">
        <f>AG102+SUM(AC102:AD102)+AF102</f>
        <v>462</v>
      </c>
      <c r="AI102" s="203">
        <f t="shared" si="79"/>
        <v>592</v>
      </c>
      <c r="AJ102" s="204">
        <f t="shared" si="79"/>
        <v>914</v>
      </c>
      <c r="AK102" s="193">
        <v>0</v>
      </c>
      <c r="AL102" s="194">
        <v>0</v>
      </c>
      <c r="AM102" s="195">
        <v>0</v>
      </c>
      <c r="AN102" s="196">
        <v>0</v>
      </c>
      <c r="AO102" s="219">
        <v>0</v>
      </c>
      <c r="AP102" s="220">
        <v>0</v>
      </c>
      <c r="AQ102" s="205">
        <f>SUM(AK102:AP102)</f>
        <v>0</v>
      </c>
      <c r="AR102" s="206">
        <f>AQ102+SUM(AM102:AN102)+AP102</f>
        <v>0</v>
      </c>
      <c r="AS102" s="193">
        <v>0</v>
      </c>
      <c r="AT102" s="194">
        <v>0</v>
      </c>
      <c r="AU102" s="195">
        <v>0</v>
      </c>
      <c r="AV102" s="196"/>
      <c r="AW102" s="219">
        <v>0</v>
      </c>
      <c r="AX102" s="220">
        <v>0</v>
      </c>
      <c r="AY102" s="205">
        <f>SUM(AS102:AX102)</f>
        <v>0</v>
      </c>
      <c r="AZ102" s="206">
        <f>AY102+SUM(AU102:AV102)+AX102</f>
        <v>0</v>
      </c>
      <c r="BA102" s="207">
        <f t="shared" si="76"/>
        <v>0</v>
      </c>
      <c r="BB102" s="204">
        <f t="shared" si="76"/>
        <v>0</v>
      </c>
      <c r="BC102" s="208">
        <f t="shared" si="82"/>
        <v>292</v>
      </c>
      <c r="BD102" s="209">
        <f t="shared" si="82"/>
        <v>452</v>
      </c>
      <c r="BE102" s="210">
        <f t="shared" si="83"/>
        <v>300</v>
      </c>
      <c r="BF102" s="211">
        <f t="shared" si="83"/>
        <v>462</v>
      </c>
      <c r="BG102" s="212">
        <f t="shared" si="84"/>
        <v>592</v>
      </c>
      <c r="BH102" s="213">
        <f t="shared" si="84"/>
        <v>914</v>
      </c>
    </row>
    <row r="103" spans="1:60" ht="21.6" thickBot="1" x14ac:dyDescent="0.35">
      <c r="A103" s="214" t="s">
        <v>402</v>
      </c>
      <c r="B103" s="179">
        <v>4</v>
      </c>
      <c r="C103" s="180">
        <v>5</v>
      </c>
      <c r="D103" s="215" t="s">
        <v>51</v>
      </c>
      <c r="E103" s="182" t="s">
        <v>424</v>
      </c>
      <c r="F103" s="183" t="s">
        <v>419</v>
      </c>
      <c r="G103" s="216" t="s">
        <v>425</v>
      </c>
      <c r="H103" s="217" t="s">
        <v>426</v>
      </c>
      <c r="I103" s="217" t="s">
        <v>427</v>
      </c>
      <c r="J103" s="218" t="s">
        <v>428</v>
      </c>
      <c r="K103" s="223">
        <f t="shared" si="96"/>
        <v>0.66527777777810115</v>
      </c>
      <c r="L103" s="222"/>
      <c r="M103" s="189">
        <f t="shared" si="85"/>
        <v>0.66527777777810115</v>
      </c>
      <c r="N103" s="189">
        <f t="shared" si="86"/>
        <v>0.84722222221898846</v>
      </c>
      <c r="O103" s="190">
        <f t="shared" si="87"/>
        <v>40.396659707704792</v>
      </c>
      <c r="P103" s="190">
        <f t="shared" si="88"/>
        <v>40.396659707704792</v>
      </c>
      <c r="Q103" s="191">
        <f t="shared" si="89"/>
        <v>31.721311475530911</v>
      </c>
      <c r="R103" s="192" t="s">
        <v>57</v>
      </c>
      <c r="S103" s="193">
        <v>194</v>
      </c>
      <c r="T103" s="194">
        <v>90</v>
      </c>
      <c r="U103" s="195">
        <v>51</v>
      </c>
      <c r="V103" s="196">
        <v>1</v>
      </c>
      <c r="W103" s="219">
        <v>0</v>
      </c>
      <c r="X103" s="220">
        <v>2</v>
      </c>
      <c r="Y103" s="199">
        <f t="shared" si="97"/>
        <v>338</v>
      </c>
      <c r="Z103" s="200">
        <f t="shared" si="98"/>
        <v>392</v>
      </c>
      <c r="AA103" s="193">
        <v>174</v>
      </c>
      <c r="AB103" s="194">
        <v>0</v>
      </c>
      <c r="AC103" s="195">
        <v>84</v>
      </c>
      <c r="AD103" s="201">
        <v>32</v>
      </c>
      <c r="AE103" s="221">
        <v>0</v>
      </c>
      <c r="AF103" s="220">
        <v>17</v>
      </c>
      <c r="AG103" s="199">
        <f>SUM(AA103:AF103)</f>
        <v>307</v>
      </c>
      <c r="AH103" s="200">
        <f>AG103+SUM(AC103:AD103)+AF103</f>
        <v>440</v>
      </c>
      <c r="AI103" s="203">
        <f t="shared" si="79"/>
        <v>645</v>
      </c>
      <c r="AJ103" s="204">
        <f t="shared" si="79"/>
        <v>832</v>
      </c>
      <c r="AK103" s="193">
        <v>0</v>
      </c>
      <c r="AL103" s="194">
        <v>0</v>
      </c>
      <c r="AM103" s="195">
        <v>0</v>
      </c>
      <c r="AN103" s="196">
        <v>0</v>
      </c>
      <c r="AO103" s="219">
        <v>0</v>
      </c>
      <c r="AP103" s="220">
        <v>0</v>
      </c>
      <c r="AQ103" s="205">
        <f>SUM(AK103:AP103)</f>
        <v>0</v>
      </c>
      <c r="AR103" s="206">
        <f>AQ103+SUM(AM103:AN103)+AP103</f>
        <v>0</v>
      </c>
      <c r="AS103" s="193">
        <v>0</v>
      </c>
      <c r="AT103" s="194">
        <v>0</v>
      </c>
      <c r="AU103" s="195">
        <v>0</v>
      </c>
      <c r="AV103" s="196">
        <v>0</v>
      </c>
      <c r="AW103" s="219">
        <v>0</v>
      </c>
      <c r="AX103" s="220">
        <v>0</v>
      </c>
      <c r="AY103" s="205">
        <f>SUM(AS103:AX103)</f>
        <v>0</v>
      </c>
      <c r="AZ103" s="206">
        <f>AY103+SUM(AU103:AV103)+AX103</f>
        <v>0</v>
      </c>
      <c r="BA103" s="207">
        <f t="shared" si="76"/>
        <v>0</v>
      </c>
      <c r="BB103" s="204">
        <f t="shared" si="76"/>
        <v>0</v>
      </c>
      <c r="BC103" s="208">
        <f t="shared" si="82"/>
        <v>338</v>
      </c>
      <c r="BD103" s="209">
        <f t="shared" si="82"/>
        <v>392</v>
      </c>
      <c r="BE103" s="210">
        <f t="shared" si="83"/>
        <v>307</v>
      </c>
      <c r="BF103" s="211">
        <f t="shared" si="83"/>
        <v>440</v>
      </c>
      <c r="BG103" s="212">
        <f t="shared" si="84"/>
        <v>645</v>
      </c>
      <c r="BH103" s="213">
        <f t="shared" si="84"/>
        <v>832</v>
      </c>
    </row>
    <row r="104" spans="1:60" ht="21.6" thickBot="1" x14ac:dyDescent="0.35">
      <c r="A104" s="214" t="s">
        <v>402</v>
      </c>
      <c r="B104" s="179">
        <v>2</v>
      </c>
      <c r="C104" s="180">
        <v>6</v>
      </c>
      <c r="D104" s="215" t="s">
        <v>79</v>
      </c>
      <c r="E104" s="182" t="s">
        <v>429</v>
      </c>
      <c r="F104" s="183" t="s">
        <v>419</v>
      </c>
      <c r="G104" s="216" t="s">
        <v>430</v>
      </c>
      <c r="H104" s="217" t="s">
        <v>431</v>
      </c>
      <c r="I104" s="217" t="s">
        <v>432</v>
      </c>
      <c r="J104" s="218" t="s">
        <v>433</v>
      </c>
      <c r="K104" s="223">
        <f t="shared" si="96"/>
        <v>0.48958333332848269</v>
      </c>
      <c r="L104" s="222"/>
      <c r="M104" s="189">
        <f t="shared" si="85"/>
        <v>0.48958333332848269</v>
      </c>
      <c r="N104" s="189">
        <f t="shared" si="86"/>
        <v>0.59375</v>
      </c>
      <c r="O104" s="190">
        <f t="shared" si="87"/>
        <v>52.851063830310864</v>
      </c>
      <c r="P104" s="190">
        <f t="shared" si="88"/>
        <v>52.851063830310864</v>
      </c>
      <c r="Q104" s="191">
        <f t="shared" si="89"/>
        <v>43.578947368421048</v>
      </c>
      <c r="R104" s="227" t="s">
        <v>71</v>
      </c>
      <c r="S104" s="193">
        <v>136</v>
      </c>
      <c r="T104" s="194">
        <v>3</v>
      </c>
      <c r="U104" s="195">
        <v>158</v>
      </c>
      <c r="V104" s="196">
        <v>15</v>
      </c>
      <c r="W104" s="219">
        <v>0</v>
      </c>
      <c r="X104" s="220">
        <v>1</v>
      </c>
      <c r="Y104" s="199">
        <f t="shared" si="97"/>
        <v>313</v>
      </c>
      <c r="Z104" s="200">
        <f t="shared" si="98"/>
        <v>487</v>
      </c>
      <c r="AA104" s="193">
        <v>136</v>
      </c>
      <c r="AB104" s="194">
        <v>5</v>
      </c>
      <c r="AC104" s="195">
        <v>118</v>
      </c>
      <c r="AD104" s="201">
        <v>46</v>
      </c>
      <c r="AE104" s="221">
        <v>0</v>
      </c>
      <c r="AF104" s="220">
        <v>3</v>
      </c>
      <c r="AG104" s="199">
        <f>SUM(AA104:AF104)</f>
        <v>308</v>
      </c>
      <c r="AH104" s="200">
        <f>AG104+SUM(AC104:AD104)+AF104</f>
        <v>475</v>
      </c>
      <c r="AI104" s="203">
        <f t="shared" si="79"/>
        <v>621</v>
      </c>
      <c r="AJ104" s="204">
        <f t="shared" si="79"/>
        <v>962</v>
      </c>
      <c r="AK104" s="193">
        <v>0</v>
      </c>
      <c r="AL104" s="194">
        <v>0</v>
      </c>
      <c r="AM104" s="195">
        <v>0</v>
      </c>
      <c r="AN104" s="196">
        <v>0</v>
      </c>
      <c r="AO104" s="219">
        <v>0</v>
      </c>
      <c r="AP104" s="220">
        <v>0</v>
      </c>
      <c r="AQ104" s="205">
        <f>SUM(AK104:AP104)</f>
        <v>0</v>
      </c>
      <c r="AR104" s="206">
        <f>AQ104+SUM(AM104:AN104)+AP104</f>
        <v>0</v>
      </c>
      <c r="AS104" s="193">
        <v>0</v>
      </c>
      <c r="AT104" s="194">
        <v>0</v>
      </c>
      <c r="AU104" s="195">
        <v>0</v>
      </c>
      <c r="AV104" s="196">
        <v>0</v>
      </c>
      <c r="AW104" s="219">
        <v>0</v>
      </c>
      <c r="AX104" s="220">
        <v>0</v>
      </c>
      <c r="AY104" s="205">
        <f>SUM(AS104:AX104)</f>
        <v>0</v>
      </c>
      <c r="AZ104" s="206">
        <f>AY104+SUM(AU104:AV104)+AX104</f>
        <v>0</v>
      </c>
      <c r="BA104" s="207">
        <f t="shared" si="76"/>
        <v>0</v>
      </c>
      <c r="BB104" s="204">
        <f t="shared" si="76"/>
        <v>0</v>
      </c>
      <c r="BC104" s="208">
        <f t="shared" si="82"/>
        <v>313</v>
      </c>
      <c r="BD104" s="209">
        <f t="shared" si="82"/>
        <v>487</v>
      </c>
      <c r="BE104" s="210">
        <f t="shared" si="83"/>
        <v>308</v>
      </c>
      <c r="BF104" s="211">
        <f t="shared" si="83"/>
        <v>475</v>
      </c>
      <c r="BG104" s="212">
        <f t="shared" si="84"/>
        <v>621</v>
      </c>
      <c r="BH104" s="213">
        <f t="shared" si="84"/>
        <v>962</v>
      </c>
    </row>
    <row r="105" spans="1:60" ht="21.6" thickBot="1" x14ac:dyDescent="0.35">
      <c r="A105" s="214" t="s">
        <v>402</v>
      </c>
      <c r="B105" s="179">
        <v>5</v>
      </c>
      <c r="C105" s="180">
        <v>7</v>
      </c>
      <c r="D105" s="215" t="s">
        <v>231</v>
      </c>
      <c r="E105" s="182" t="s">
        <v>434</v>
      </c>
      <c r="F105" s="183" t="s">
        <v>314</v>
      </c>
      <c r="G105" s="216" t="s">
        <v>435</v>
      </c>
      <c r="H105" s="217" t="s">
        <v>436</v>
      </c>
      <c r="I105" s="217" t="s">
        <v>437</v>
      </c>
      <c r="J105" s="218" t="s">
        <v>438</v>
      </c>
      <c r="K105" s="223">
        <f t="shared" si="96"/>
        <v>0.45972222222189885</v>
      </c>
      <c r="L105" s="222"/>
      <c r="M105" s="189">
        <f t="shared" si="85"/>
        <v>0.45972222222189885</v>
      </c>
      <c r="N105" s="189">
        <f t="shared" si="86"/>
        <v>0.5</v>
      </c>
      <c r="O105" s="190">
        <f t="shared" si="87"/>
        <v>50.302114803660764</v>
      </c>
      <c r="P105" s="190">
        <f t="shared" si="88"/>
        <v>50.302114803660764</v>
      </c>
      <c r="Q105" s="191">
        <f t="shared" si="89"/>
        <v>46.25</v>
      </c>
      <c r="R105" s="192" t="s">
        <v>57</v>
      </c>
      <c r="S105" s="193">
        <v>161</v>
      </c>
      <c r="T105" s="194">
        <v>0</v>
      </c>
      <c r="U105" s="195">
        <v>87</v>
      </c>
      <c r="V105" s="196">
        <v>0</v>
      </c>
      <c r="W105" s="219">
        <v>0</v>
      </c>
      <c r="X105" s="220">
        <v>1</v>
      </c>
      <c r="Y105" s="199">
        <f t="shared" si="97"/>
        <v>249</v>
      </c>
      <c r="Z105" s="200">
        <f t="shared" si="98"/>
        <v>337</v>
      </c>
      <c r="AA105" s="193">
        <v>183</v>
      </c>
      <c r="AB105" s="194">
        <v>30</v>
      </c>
      <c r="AC105" s="195">
        <v>83</v>
      </c>
      <c r="AD105" s="201">
        <v>0</v>
      </c>
      <c r="AE105" s="221">
        <v>0</v>
      </c>
      <c r="AF105" s="220">
        <v>10</v>
      </c>
      <c r="AG105" s="199">
        <f>SUM(AA105:AF105)</f>
        <v>306</v>
      </c>
      <c r="AH105" s="200">
        <f>AG105+SUM(AC105:AD105)+AF105</f>
        <v>399</v>
      </c>
      <c r="AI105" s="203">
        <f t="shared" si="79"/>
        <v>555</v>
      </c>
      <c r="AJ105" s="204">
        <f t="shared" si="79"/>
        <v>736</v>
      </c>
      <c r="AK105" s="193">
        <v>0</v>
      </c>
      <c r="AL105" s="194">
        <v>0</v>
      </c>
      <c r="AM105" s="195">
        <v>0</v>
      </c>
      <c r="AN105" s="196">
        <v>0</v>
      </c>
      <c r="AO105" s="219">
        <v>0</v>
      </c>
      <c r="AP105" s="220">
        <v>0</v>
      </c>
      <c r="AQ105" s="205">
        <f>SUM(AK105:AP105)</f>
        <v>0</v>
      </c>
      <c r="AR105" s="206">
        <f>AQ105+SUM(AM105:AN105)+AP105</f>
        <v>0</v>
      </c>
      <c r="AS105" s="193">
        <v>0</v>
      </c>
      <c r="AT105" s="194">
        <v>0</v>
      </c>
      <c r="AU105" s="195">
        <v>0</v>
      </c>
      <c r="AV105" s="196">
        <v>0</v>
      </c>
      <c r="AW105" s="219">
        <v>0</v>
      </c>
      <c r="AX105" s="220">
        <v>0</v>
      </c>
      <c r="AY105" s="205">
        <f>SUM(AS105:AX105)</f>
        <v>0</v>
      </c>
      <c r="AZ105" s="206">
        <f>AY105+SUM(AU105:AV105)+AX105</f>
        <v>0</v>
      </c>
      <c r="BA105" s="207">
        <f t="shared" si="76"/>
        <v>0</v>
      </c>
      <c r="BB105" s="204">
        <f t="shared" si="76"/>
        <v>0</v>
      </c>
      <c r="BC105" s="208">
        <f t="shared" si="82"/>
        <v>249</v>
      </c>
      <c r="BD105" s="209">
        <f t="shared" si="82"/>
        <v>337</v>
      </c>
      <c r="BE105" s="210">
        <f t="shared" si="83"/>
        <v>306</v>
      </c>
      <c r="BF105" s="211">
        <f t="shared" si="83"/>
        <v>399</v>
      </c>
      <c r="BG105" s="212">
        <f t="shared" si="84"/>
        <v>555</v>
      </c>
      <c r="BH105" s="213">
        <f t="shared" si="84"/>
        <v>736</v>
      </c>
    </row>
    <row r="106" spans="1:60" ht="21.6" thickBot="1" x14ac:dyDescent="0.35">
      <c r="A106" s="214" t="s">
        <v>402</v>
      </c>
      <c r="B106" s="179">
        <v>6</v>
      </c>
      <c r="C106" s="180">
        <v>8</v>
      </c>
      <c r="D106" s="215" t="s">
        <v>58</v>
      </c>
      <c r="E106" s="182" t="s">
        <v>439</v>
      </c>
      <c r="F106" s="183" t="s">
        <v>419</v>
      </c>
      <c r="G106" s="216" t="s">
        <v>440</v>
      </c>
      <c r="H106" s="217" t="s">
        <v>441</v>
      </c>
      <c r="I106" s="217" t="s">
        <v>442</v>
      </c>
      <c r="J106" s="218" t="s">
        <v>443</v>
      </c>
      <c r="K106" s="223">
        <f t="shared" si="96"/>
        <v>0.53263888889341615</v>
      </c>
      <c r="L106" s="222">
        <v>1.7361111109494232E-2</v>
      </c>
      <c r="M106" s="189">
        <f t="shared" si="85"/>
        <v>0.51527777778392192</v>
      </c>
      <c r="N106" s="189">
        <f t="shared" si="86"/>
        <v>0.58333333333575865</v>
      </c>
      <c r="O106" s="190">
        <f t="shared" si="87"/>
        <v>30.566037735484588</v>
      </c>
      <c r="P106" s="190">
        <f t="shared" si="88"/>
        <v>29.569752281365353</v>
      </c>
      <c r="Q106" s="191">
        <f t="shared" si="89"/>
        <v>26.999999999887745</v>
      </c>
      <c r="R106" s="192" t="s">
        <v>57</v>
      </c>
      <c r="S106" s="193">
        <v>62</v>
      </c>
      <c r="T106" s="194">
        <v>39</v>
      </c>
      <c r="U106" s="195">
        <v>21</v>
      </c>
      <c r="V106" s="196">
        <v>55</v>
      </c>
      <c r="W106" s="219">
        <v>0</v>
      </c>
      <c r="X106" s="220">
        <v>0</v>
      </c>
      <c r="Y106" s="199">
        <f t="shared" si="97"/>
        <v>177</v>
      </c>
      <c r="Z106" s="200">
        <f t="shared" si="98"/>
        <v>253</v>
      </c>
      <c r="AA106" s="193">
        <v>87</v>
      </c>
      <c r="AB106" s="194">
        <v>30</v>
      </c>
      <c r="AC106" s="195">
        <v>84</v>
      </c>
      <c r="AD106" s="201">
        <v>0</v>
      </c>
      <c r="AE106" s="221">
        <v>0</v>
      </c>
      <c r="AF106" s="220">
        <v>0</v>
      </c>
      <c r="AG106" s="199">
        <f t="shared" si="90"/>
        <v>201</v>
      </c>
      <c r="AH106" s="200">
        <f t="shared" si="91"/>
        <v>285</v>
      </c>
      <c r="AI106" s="203">
        <f t="shared" si="79"/>
        <v>378</v>
      </c>
      <c r="AJ106" s="204">
        <f t="shared" si="79"/>
        <v>538</v>
      </c>
      <c r="AK106" s="193"/>
      <c r="AL106" s="194"/>
      <c r="AM106" s="195"/>
      <c r="AN106" s="196"/>
      <c r="AO106" s="219"/>
      <c r="AP106" s="220"/>
      <c r="AQ106" s="205">
        <f t="shared" si="92"/>
        <v>0</v>
      </c>
      <c r="AR106" s="206">
        <f t="shared" si="93"/>
        <v>0</v>
      </c>
      <c r="AS106" s="193"/>
      <c r="AT106" s="194"/>
      <c r="AU106" s="195"/>
      <c r="AV106" s="196"/>
      <c r="AW106" s="219"/>
      <c r="AX106" s="220"/>
      <c r="AY106" s="205">
        <f t="shared" si="94"/>
        <v>0</v>
      </c>
      <c r="AZ106" s="206">
        <f t="shared" si="95"/>
        <v>0</v>
      </c>
      <c r="BA106" s="207">
        <f t="shared" si="76"/>
        <v>0</v>
      </c>
      <c r="BB106" s="204">
        <f t="shared" si="76"/>
        <v>0</v>
      </c>
      <c r="BC106" s="208">
        <f t="shared" si="82"/>
        <v>177</v>
      </c>
      <c r="BD106" s="209">
        <f t="shared" si="82"/>
        <v>253</v>
      </c>
      <c r="BE106" s="210">
        <f t="shared" si="83"/>
        <v>201</v>
      </c>
      <c r="BF106" s="211">
        <f t="shared" si="83"/>
        <v>285</v>
      </c>
      <c r="BG106" s="212">
        <f t="shared" si="84"/>
        <v>378</v>
      </c>
      <c r="BH106" s="213">
        <f t="shared" si="84"/>
        <v>538</v>
      </c>
    </row>
    <row r="107" spans="1:60" ht="21.6" thickBot="1" x14ac:dyDescent="0.35">
      <c r="A107" s="214" t="s">
        <v>402</v>
      </c>
      <c r="B107" s="179">
        <v>3</v>
      </c>
      <c r="C107" s="180">
        <v>9</v>
      </c>
      <c r="D107" s="215" t="s">
        <v>65</v>
      </c>
      <c r="E107" s="182" t="s">
        <v>444</v>
      </c>
      <c r="F107" s="281" t="s">
        <v>445</v>
      </c>
      <c r="G107" s="216" t="s">
        <v>446</v>
      </c>
      <c r="H107" s="217" t="s">
        <v>447</v>
      </c>
      <c r="I107" s="217" t="s">
        <v>448</v>
      </c>
      <c r="J107" s="218" t="s">
        <v>449</v>
      </c>
      <c r="K107" s="223">
        <f t="shared" si="96"/>
        <v>0.52847222222771961</v>
      </c>
      <c r="L107" s="222">
        <v>3.472222222222221E-2</v>
      </c>
      <c r="M107" s="189">
        <f t="shared" si="85"/>
        <v>0.4937500000054974</v>
      </c>
      <c r="N107" s="189">
        <f t="shared" si="86"/>
        <v>0.54513888889050577</v>
      </c>
      <c r="O107" s="190">
        <f t="shared" si="87"/>
        <v>51.814345990984286</v>
      </c>
      <c r="P107" s="190">
        <f t="shared" si="88"/>
        <v>48.409986858891955</v>
      </c>
      <c r="Q107" s="191">
        <f t="shared" si="89"/>
        <v>46.929936305593287</v>
      </c>
      <c r="R107" s="227" t="s">
        <v>71</v>
      </c>
      <c r="S107" s="193">
        <v>135</v>
      </c>
      <c r="T107" s="194">
        <v>35</v>
      </c>
      <c r="U107" s="195">
        <v>135</v>
      </c>
      <c r="V107" s="196">
        <v>14</v>
      </c>
      <c r="W107" s="219">
        <v>0</v>
      </c>
      <c r="X107" s="220">
        <v>1</v>
      </c>
      <c r="Y107" s="199">
        <f t="shared" si="97"/>
        <v>320</v>
      </c>
      <c r="Z107" s="200">
        <f t="shared" si="98"/>
        <v>470</v>
      </c>
      <c r="AA107" s="193">
        <v>128</v>
      </c>
      <c r="AB107" s="194">
        <v>7</v>
      </c>
      <c r="AC107" s="195">
        <v>114</v>
      </c>
      <c r="AD107" s="201">
        <v>42</v>
      </c>
      <c r="AE107" s="221">
        <v>0</v>
      </c>
      <c r="AF107" s="220">
        <v>3</v>
      </c>
      <c r="AG107" s="199">
        <f t="shared" si="90"/>
        <v>294</v>
      </c>
      <c r="AH107" s="200">
        <f t="shared" si="91"/>
        <v>453</v>
      </c>
      <c r="AI107" s="203">
        <f t="shared" si="79"/>
        <v>614</v>
      </c>
      <c r="AJ107" s="204">
        <f t="shared" si="79"/>
        <v>923</v>
      </c>
      <c r="AK107" s="193"/>
      <c r="AL107" s="194"/>
      <c r="AM107" s="195"/>
      <c r="AN107" s="196"/>
      <c r="AO107" s="219"/>
      <c r="AP107" s="220"/>
      <c r="AQ107" s="205">
        <f t="shared" si="92"/>
        <v>0</v>
      </c>
      <c r="AR107" s="206">
        <f t="shared" si="93"/>
        <v>0</v>
      </c>
      <c r="AS107" s="193"/>
      <c r="AT107" s="194"/>
      <c r="AU107" s="195"/>
      <c r="AV107" s="196"/>
      <c r="AW107" s="219"/>
      <c r="AX107" s="220"/>
      <c r="AY107" s="205">
        <f t="shared" si="94"/>
        <v>0</v>
      </c>
      <c r="AZ107" s="206">
        <f t="shared" si="95"/>
        <v>0</v>
      </c>
      <c r="BA107" s="207">
        <f t="shared" si="76"/>
        <v>0</v>
      </c>
      <c r="BB107" s="204">
        <f t="shared" si="76"/>
        <v>0</v>
      </c>
      <c r="BC107" s="208">
        <f t="shared" si="82"/>
        <v>320</v>
      </c>
      <c r="BD107" s="209">
        <f t="shared" si="82"/>
        <v>470</v>
      </c>
      <c r="BE107" s="210">
        <f t="shared" si="83"/>
        <v>294</v>
      </c>
      <c r="BF107" s="211">
        <f t="shared" si="83"/>
        <v>453</v>
      </c>
      <c r="BG107" s="212">
        <f t="shared" si="84"/>
        <v>614</v>
      </c>
      <c r="BH107" s="213">
        <f t="shared" si="84"/>
        <v>923</v>
      </c>
    </row>
    <row r="108" spans="1:60" ht="21.6" thickBot="1" x14ac:dyDescent="0.35">
      <c r="A108" s="214" t="s">
        <v>402</v>
      </c>
      <c r="B108" s="179">
        <v>7</v>
      </c>
      <c r="C108" s="180">
        <v>10</v>
      </c>
      <c r="D108" s="215" t="s">
        <v>72</v>
      </c>
      <c r="E108" s="182" t="s">
        <v>450</v>
      </c>
      <c r="F108" s="183" t="s">
        <v>277</v>
      </c>
      <c r="G108" s="216" t="s">
        <v>451</v>
      </c>
      <c r="H108" s="217" t="s">
        <v>452</v>
      </c>
      <c r="I108" s="217" t="s">
        <v>453</v>
      </c>
      <c r="J108" s="218" t="s">
        <v>454</v>
      </c>
      <c r="K108" s="223">
        <f t="shared" si="96"/>
        <v>0.70138888889050577</v>
      </c>
      <c r="L108" s="222"/>
      <c r="M108" s="189">
        <f t="shared" si="85"/>
        <v>0.70138888889050577</v>
      </c>
      <c r="N108" s="189">
        <f t="shared" si="86"/>
        <v>0.74305555555474712</v>
      </c>
      <c r="O108" s="190">
        <f t="shared" si="87"/>
        <v>49.485148514737411</v>
      </c>
      <c r="P108" s="190">
        <f t="shared" si="88"/>
        <v>49.485148514737411</v>
      </c>
      <c r="Q108" s="191">
        <f t="shared" si="89"/>
        <v>46.710280373882597</v>
      </c>
      <c r="R108" s="192" t="s">
        <v>57</v>
      </c>
      <c r="S108" s="193">
        <v>172</v>
      </c>
      <c r="T108" s="194">
        <v>127</v>
      </c>
      <c r="U108" s="195">
        <v>87</v>
      </c>
      <c r="V108" s="196">
        <v>60</v>
      </c>
      <c r="W108" s="219">
        <v>0</v>
      </c>
      <c r="X108" s="220">
        <v>1</v>
      </c>
      <c r="Y108" s="199">
        <f t="shared" si="97"/>
        <v>447</v>
      </c>
      <c r="Z108" s="200">
        <f t="shared" si="98"/>
        <v>595</v>
      </c>
      <c r="AA108" s="193">
        <v>226</v>
      </c>
      <c r="AB108" s="194">
        <v>0</v>
      </c>
      <c r="AC108" s="195">
        <v>128</v>
      </c>
      <c r="AD108" s="201">
        <v>0</v>
      </c>
      <c r="AE108" s="221">
        <v>0</v>
      </c>
      <c r="AF108" s="220">
        <v>32</v>
      </c>
      <c r="AG108" s="199">
        <f>SUM(AA108:AF108)</f>
        <v>386</v>
      </c>
      <c r="AH108" s="200">
        <f>AG108+SUM(AC108:AD108)+AF108</f>
        <v>546</v>
      </c>
      <c r="AI108" s="203">
        <f>Y108+AG108</f>
        <v>833</v>
      </c>
      <c r="AJ108" s="204">
        <f>Z108+AH108</f>
        <v>1141</v>
      </c>
      <c r="AK108" s="193"/>
      <c r="AL108" s="194"/>
      <c r="AM108" s="195"/>
      <c r="AN108" s="196"/>
      <c r="AO108" s="219"/>
      <c r="AP108" s="220"/>
      <c r="AQ108" s="205">
        <f t="shared" si="92"/>
        <v>0</v>
      </c>
      <c r="AR108" s="206">
        <f t="shared" si="93"/>
        <v>0</v>
      </c>
      <c r="AS108" s="193"/>
      <c r="AT108" s="194"/>
      <c r="AU108" s="195"/>
      <c r="AV108" s="196"/>
      <c r="AW108" s="219"/>
      <c r="AX108" s="220"/>
      <c r="AY108" s="205">
        <f t="shared" si="94"/>
        <v>0</v>
      </c>
      <c r="AZ108" s="206">
        <f t="shared" si="95"/>
        <v>0</v>
      </c>
      <c r="BA108" s="207">
        <f t="shared" si="76"/>
        <v>0</v>
      </c>
      <c r="BB108" s="204">
        <f t="shared" si="76"/>
        <v>0</v>
      </c>
      <c r="BC108" s="208">
        <f t="shared" si="82"/>
        <v>447</v>
      </c>
      <c r="BD108" s="209">
        <f t="shared" si="82"/>
        <v>595</v>
      </c>
      <c r="BE108" s="210">
        <f t="shared" si="83"/>
        <v>386</v>
      </c>
      <c r="BF108" s="211">
        <f t="shared" si="83"/>
        <v>546</v>
      </c>
      <c r="BG108" s="212">
        <f t="shared" si="84"/>
        <v>833</v>
      </c>
      <c r="BH108" s="213">
        <f t="shared" si="84"/>
        <v>1141</v>
      </c>
    </row>
    <row r="109" spans="1:60" ht="21.6" thickBot="1" x14ac:dyDescent="0.35">
      <c r="A109" s="214" t="s">
        <v>402</v>
      </c>
      <c r="B109" s="179">
        <v>8</v>
      </c>
      <c r="C109" s="180">
        <v>11</v>
      </c>
      <c r="D109" s="215" t="s">
        <v>51</v>
      </c>
      <c r="E109" s="182" t="s">
        <v>455</v>
      </c>
      <c r="F109" s="183" t="s">
        <v>445</v>
      </c>
      <c r="G109" s="216" t="s">
        <v>456</v>
      </c>
      <c r="H109" s="217" t="s">
        <v>457</v>
      </c>
      <c r="I109" s="217" t="s">
        <v>458</v>
      </c>
      <c r="J109" s="218" t="s">
        <v>459</v>
      </c>
      <c r="K109" s="223">
        <f t="shared" si="96"/>
        <v>0.48124999999708962</v>
      </c>
      <c r="L109" s="222"/>
      <c r="M109" s="189">
        <f t="shared" si="85"/>
        <v>0.48124999999708962</v>
      </c>
      <c r="N109" s="189">
        <f t="shared" si="86"/>
        <v>0.70138888889050577</v>
      </c>
      <c r="O109" s="190">
        <f t="shared" si="87"/>
        <v>53.766233766558919</v>
      </c>
      <c r="P109" s="190">
        <f t="shared" si="88"/>
        <v>53.766233766558919</v>
      </c>
      <c r="Q109" s="191">
        <f t="shared" si="89"/>
        <v>36.891089108825845</v>
      </c>
      <c r="R109" s="192" t="s">
        <v>57</v>
      </c>
      <c r="S109" s="193">
        <v>161</v>
      </c>
      <c r="T109" s="194">
        <v>10</v>
      </c>
      <c r="U109" s="195">
        <v>68</v>
      </c>
      <c r="V109" s="196">
        <v>77</v>
      </c>
      <c r="W109" s="219">
        <v>0</v>
      </c>
      <c r="X109" s="220">
        <v>5</v>
      </c>
      <c r="Y109" s="199">
        <f t="shared" si="97"/>
        <v>321</v>
      </c>
      <c r="Z109" s="200">
        <f t="shared" si="98"/>
        <v>471</v>
      </c>
      <c r="AA109" s="193">
        <v>176</v>
      </c>
      <c r="AB109" s="194">
        <v>27</v>
      </c>
      <c r="AC109" s="195">
        <v>72</v>
      </c>
      <c r="AD109" s="201">
        <v>0</v>
      </c>
      <c r="AE109" s="221">
        <v>0</v>
      </c>
      <c r="AF109" s="220">
        <v>25</v>
      </c>
      <c r="AG109" s="199">
        <f>SUM(AA109:AF109)</f>
        <v>300</v>
      </c>
      <c r="AH109" s="200">
        <f>AG109+SUM(AC109:AD109)+AF109</f>
        <v>397</v>
      </c>
      <c r="AI109" s="203">
        <f>Y109+AG109</f>
        <v>621</v>
      </c>
      <c r="AJ109" s="204">
        <f>Z109+AH109</f>
        <v>868</v>
      </c>
      <c r="AK109" s="193"/>
      <c r="AL109" s="194"/>
      <c r="AM109" s="195"/>
      <c r="AN109" s="196"/>
      <c r="AO109" s="219"/>
      <c r="AP109" s="220"/>
      <c r="AQ109" s="205">
        <f t="shared" si="92"/>
        <v>0</v>
      </c>
      <c r="AR109" s="206">
        <f t="shared" si="93"/>
        <v>0</v>
      </c>
      <c r="AS109" s="193"/>
      <c r="AT109" s="194"/>
      <c r="AU109" s="195"/>
      <c r="AV109" s="196"/>
      <c r="AW109" s="219"/>
      <c r="AX109" s="220"/>
      <c r="AY109" s="205">
        <f t="shared" si="94"/>
        <v>0</v>
      </c>
      <c r="AZ109" s="206">
        <f t="shared" si="95"/>
        <v>0</v>
      </c>
      <c r="BA109" s="207">
        <f t="shared" si="76"/>
        <v>0</v>
      </c>
      <c r="BB109" s="204">
        <f t="shared" si="76"/>
        <v>0</v>
      </c>
      <c r="BC109" s="208">
        <f t="shared" si="82"/>
        <v>321</v>
      </c>
      <c r="BD109" s="209">
        <f t="shared" si="82"/>
        <v>471</v>
      </c>
      <c r="BE109" s="210">
        <f t="shared" si="83"/>
        <v>300</v>
      </c>
      <c r="BF109" s="211">
        <f t="shared" si="83"/>
        <v>397</v>
      </c>
      <c r="BG109" s="212">
        <f t="shared" si="84"/>
        <v>621</v>
      </c>
      <c r="BH109" s="213">
        <f t="shared" si="84"/>
        <v>868</v>
      </c>
    </row>
    <row r="110" spans="1:60" ht="21.6" thickBot="1" x14ac:dyDescent="0.35">
      <c r="A110" s="214" t="s">
        <v>402</v>
      </c>
      <c r="B110" s="179">
        <v>4</v>
      </c>
      <c r="C110" s="180">
        <v>12</v>
      </c>
      <c r="D110" s="215" t="s">
        <v>79</v>
      </c>
      <c r="E110" s="182" t="s">
        <v>460</v>
      </c>
      <c r="F110" s="183" t="s">
        <v>445</v>
      </c>
      <c r="G110" s="216" t="s">
        <v>461</v>
      </c>
      <c r="H110" s="217" t="s">
        <v>462</v>
      </c>
      <c r="I110" s="217" t="s">
        <v>463</v>
      </c>
      <c r="J110" s="218" t="s">
        <v>464</v>
      </c>
      <c r="K110" s="223">
        <f t="shared" si="96"/>
        <v>0.40833333333284827</v>
      </c>
      <c r="L110" s="222"/>
      <c r="M110" s="189">
        <f t="shared" si="85"/>
        <v>0.40833333333284827</v>
      </c>
      <c r="N110" s="189">
        <f t="shared" si="86"/>
        <v>0.5</v>
      </c>
      <c r="O110" s="190">
        <f t="shared" si="87"/>
        <v>63.571428571504093</v>
      </c>
      <c r="P110" s="190">
        <f t="shared" si="88"/>
        <v>63.571428571504093</v>
      </c>
      <c r="Q110" s="191">
        <f t="shared" si="89"/>
        <v>51.916666666666664</v>
      </c>
      <c r="R110" s="227" t="s">
        <v>71</v>
      </c>
      <c r="S110" s="193">
        <v>143</v>
      </c>
      <c r="T110" s="194">
        <v>15</v>
      </c>
      <c r="U110" s="195">
        <v>136</v>
      </c>
      <c r="V110" s="196">
        <v>19</v>
      </c>
      <c r="W110" s="219">
        <v>0</v>
      </c>
      <c r="X110" s="220">
        <v>1</v>
      </c>
      <c r="Y110" s="199">
        <f t="shared" si="97"/>
        <v>314</v>
      </c>
      <c r="Z110" s="200">
        <f t="shared" si="98"/>
        <v>470</v>
      </c>
      <c r="AA110" s="193">
        <v>136</v>
      </c>
      <c r="AB110" s="194">
        <v>6</v>
      </c>
      <c r="AC110" s="195">
        <v>121</v>
      </c>
      <c r="AD110" s="201">
        <v>41</v>
      </c>
      <c r="AE110" s="221">
        <v>0</v>
      </c>
      <c r="AF110" s="220">
        <v>5</v>
      </c>
      <c r="AG110" s="199">
        <f t="shared" si="90"/>
        <v>309</v>
      </c>
      <c r="AH110" s="200">
        <f t="shared" si="91"/>
        <v>476</v>
      </c>
      <c r="AI110" s="203">
        <f t="shared" si="79"/>
        <v>623</v>
      </c>
      <c r="AJ110" s="204">
        <f t="shared" si="79"/>
        <v>946</v>
      </c>
      <c r="AK110" s="193"/>
      <c r="AL110" s="194"/>
      <c r="AM110" s="195"/>
      <c r="AN110" s="196"/>
      <c r="AO110" s="219"/>
      <c r="AP110" s="220"/>
      <c r="AQ110" s="205">
        <f t="shared" si="92"/>
        <v>0</v>
      </c>
      <c r="AR110" s="206">
        <f t="shared" si="93"/>
        <v>0</v>
      </c>
      <c r="AS110" s="193"/>
      <c r="AT110" s="194"/>
      <c r="AU110" s="195"/>
      <c r="AV110" s="196"/>
      <c r="AW110" s="219"/>
      <c r="AX110" s="220"/>
      <c r="AY110" s="205">
        <f t="shared" si="94"/>
        <v>0</v>
      </c>
      <c r="AZ110" s="206">
        <f t="shared" si="95"/>
        <v>0</v>
      </c>
      <c r="BA110" s="207">
        <f t="shared" ref="BA110:BB127" si="99">AQ110+AY110</f>
        <v>0</v>
      </c>
      <c r="BB110" s="204">
        <f t="shared" si="99"/>
        <v>0</v>
      </c>
      <c r="BC110" s="208">
        <f t="shared" si="82"/>
        <v>314</v>
      </c>
      <c r="BD110" s="209">
        <f t="shared" si="82"/>
        <v>470</v>
      </c>
      <c r="BE110" s="210">
        <f t="shared" si="83"/>
        <v>309</v>
      </c>
      <c r="BF110" s="211">
        <f t="shared" si="83"/>
        <v>476</v>
      </c>
      <c r="BG110" s="212">
        <f t="shared" si="84"/>
        <v>623</v>
      </c>
      <c r="BH110" s="213">
        <f t="shared" si="84"/>
        <v>946</v>
      </c>
    </row>
    <row r="111" spans="1:60" ht="21.6" thickBot="1" x14ac:dyDescent="0.35">
      <c r="A111" s="214" t="s">
        <v>402</v>
      </c>
      <c r="B111" s="179">
        <v>9</v>
      </c>
      <c r="C111" s="180">
        <v>13</v>
      </c>
      <c r="D111" s="215" t="s">
        <v>58</v>
      </c>
      <c r="E111" s="182" t="s">
        <v>465</v>
      </c>
      <c r="F111" s="183" t="s">
        <v>445</v>
      </c>
      <c r="G111" s="216" t="s">
        <v>466</v>
      </c>
      <c r="H111" s="217" t="s">
        <v>467</v>
      </c>
      <c r="I111" s="217" t="s">
        <v>468</v>
      </c>
      <c r="J111" s="218" t="s">
        <v>469</v>
      </c>
      <c r="K111" s="223">
        <f t="shared" si="96"/>
        <v>0.6368055555576575</v>
      </c>
      <c r="L111" s="222"/>
      <c r="M111" s="189">
        <f t="shared" si="85"/>
        <v>0.6368055555576575</v>
      </c>
      <c r="N111" s="189">
        <f t="shared" si="86"/>
        <v>0.73958333333575865</v>
      </c>
      <c r="O111" s="190">
        <f t="shared" si="87"/>
        <v>46.652126499300756</v>
      </c>
      <c r="P111" s="190">
        <f t="shared" si="88"/>
        <v>46.652126499300756</v>
      </c>
      <c r="Q111" s="191">
        <f t="shared" si="89"/>
        <v>40.169014084375313</v>
      </c>
      <c r="R111" s="192" t="s">
        <v>57</v>
      </c>
      <c r="S111" s="193">
        <v>54</v>
      </c>
      <c r="T111" s="194">
        <v>61</v>
      </c>
      <c r="U111" s="195">
        <v>63</v>
      </c>
      <c r="V111" s="196">
        <v>94</v>
      </c>
      <c r="W111" s="219">
        <v>0</v>
      </c>
      <c r="X111" s="220">
        <v>0</v>
      </c>
      <c r="Y111" s="199">
        <f t="shared" si="97"/>
        <v>272</v>
      </c>
      <c r="Z111" s="200">
        <f t="shared" si="98"/>
        <v>429</v>
      </c>
      <c r="AA111" s="193">
        <v>112</v>
      </c>
      <c r="AB111" s="194">
        <v>100</v>
      </c>
      <c r="AC111" s="195">
        <v>89</v>
      </c>
      <c r="AD111" s="201">
        <v>140</v>
      </c>
      <c r="AE111" s="221">
        <v>0</v>
      </c>
      <c r="AF111" s="220">
        <v>0</v>
      </c>
      <c r="AG111" s="199">
        <f t="shared" si="90"/>
        <v>441</v>
      </c>
      <c r="AH111" s="200">
        <f t="shared" si="91"/>
        <v>670</v>
      </c>
      <c r="AI111" s="203">
        <f t="shared" si="79"/>
        <v>713</v>
      </c>
      <c r="AJ111" s="204">
        <f t="shared" si="79"/>
        <v>1099</v>
      </c>
      <c r="AK111" s="193"/>
      <c r="AL111" s="194"/>
      <c r="AM111" s="195"/>
      <c r="AN111" s="196"/>
      <c r="AO111" s="219"/>
      <c r="AP111" s="220"/>
      <c r="AQ111" s="205">
        <f t="shared" si="92"/>
        <v>0</v>
      </c>
      <c r="AR111" s="206">
        <f t="shared" si="93"/>
        <v>0</v>
      </c>
      <c r="AS111" s="193"/>
      <c r="AT111" s="194"/>
      <c r="AU111" s="195"/>
      <c r="AV111" s="196"/>
      <c r="AW111" s="219"/>
      <c r="AX111" s="220"/>
      <c r="AY111" s="205">
        <f t="shared" si="94"/>
        <v>0</v>
      </c>
      <c r="AZ111" s="206">
        <f t="shared" si="95"/>
        <v>0</v>
      </c>
      <c r="BA111" s="207">
        <f t="shared" si="99"/>
        <v>0</v>
      </c>
      <c r="BB111" s="204">
        <f t="shared" si="99"/>
        <v>0</v>
      </c>
      <c r="BC111" s="208">
        <f t="shared" si="82"/>
        <v>272</v>
      </c>
      <c r="BD111" s="209">
        <f t="shared" si="82"/>
        <v>429</v>
      </c>
      <c r="BE111" s="210">
        <f t="shared" si="83"/>
        <v>441</v>
      </c>
      <c r="BF111" s="211">
        <f t="shared" si="83"/>
        <v>670</v>
      </c>
      <c r="BG111" s="212">
        <f t="shared" si="84"/>
        <v>713</v>
      </c>
      <c r="BH111" s="213">
        <f t="shared" si="84"/>
        <v>1099</v>
      </c>
    </row>
    <row r="112" spans="1:60" ht="21.6" thickBot="1" x14ac:dyDescent="0.35">
      <c r="A112" s="214" t="s">
        <v>402</v>
      </c>
      <c r="B112" s="179">
        <v>10</v>
      </c>
      <c r="C112" s="180">
        <v>14</v>
      </c>
      <c r="D112" s="215" t="s">
        <v>231</v>
      </c>
      <c r="E112" s="182" t="s">
        <v>470</v>
      </c>
      <c r="F112" s="183" t="s">
        <v>356</v>
      </c>
      <c r="G112" s="216" t="s">
        <v>471</v>
      </c>
      <c r="H112" s="217" t="s">
        <v>472</v>
      </c>
      <c r="I112" s="217" t="s">
        <v>473</v>
      </c>
      <c r="J112" s="218" t="s">
        <v>474</v>
      </c>
      <c r="K112" s="223">
        <f t="shared" si="96"/>
        <v>0.50416666666569654</v>
      </c>
      <c r="L112" s="222"/>
      <c r="M112" s="189">
        <f t="shared" si="85"/>
        <v>0.50416666666569654</v>
      </c>
      <c r="N112" s="189">
        <f t="shared" si="86"/>
        <v>0.63541666666424135</v>
      </c>
      <c r="O112" s="190">
        <f t="shared" si="87"/>
        <v>52.561983471175523</v>
      </c>
      <c r="P112" s="190">
        <f t="shared" si="88"/>
        <v>52.561983471175523</v>
      </c>
      <c r="Q112" s="191">
        <f t="shared" si="89"/>
        <v>41.704918032946068</v>
      </c>
      <c r="R112" s="192" t="s">
        <v>57</v>
      </c>
      <c r="S112" s="193">
        <v>164</v>
      </c>
      <c r="T112" s="194">
        <v>40</v>
      </c>
      <c r="U112" s="195">
        <v>104</v>
      </c>
      <c r="V112" s="196">
        <v>30</v>
      </c>
      <c r="W112" s="219">
        <v>0</v>
      </c>
      <c r="X112" s="220">
        <v>3</v>
      </c>
      <c r="Y112" s="199">
        <f t="shared" si="97"/>
        <v>341</v>
      </c>
      <c r="Z112" s="200">
        <f t="shared" si="98"/>
        <v>478</v>
      </c>
      <c r="AA112" s="193">
        <v>158</v>
      </c>
      <c r="AB112" s="194">
        <v>30</v>
      </c>
      <c r="AC112" s="195">
        <v>96</v>
      </c>
      <c r="AD112" s="201">
        <v>3</v>
      </c>
      <c r="AE112" s="221">
        <v>0</v>
      </c>
      <c r="AF112" s="220">
        <v>8</v>
      </c>
      <c r="AG112" s="199">
        <f t="shared" si="90"/>
        <v>295</v>
      </c>
      <c r="AH112" s="200">
        <f t="shared" si="91"/>
        <v>402</v>
      </c>
      <c r="AI112" s="203">
        <f t="shared" si="79"/>
        <v>636</v>
      </c>
      <c r="AJ112" s="204">
        <f t="shared" si="79"/>
        <v>880</v>
      </c>
      <c r="AK112" s="193"/>
      <c r="AL112" s="194"/>
      <c r="AM112" s="195"/>
      <c r="AN112" s="196"/>
      <c r="AO112" s="219"/>
      <c r="AP112" s="220"/>
      <c r="AQ112" s="205">
        <f t="shared" si="92"/>
        <v>0</v>
      </c>
      <c r="AR112" s="206">
        <f t="shared" si="93"/>
        <v>0</v>
      </c>
      <c r="AS112" s="193"/>
      <c r="AT112" s="194"/>
      <c r="AU112" s="195"/>
      <c r="AV112" s="196"/>
      <c r="AW112" s="219"/>
      <c r="AX112" s="220"/>
      <c r="AY112" s="205">
        <f t="shared" si="94"/>
        <v>0</v>
      </c>
      <c r="AZ112" s="206">
        <f t="shared" si="95"/>
        <v>0</v>
      </c>
      <c r="BA112" s="207">
        <f t="shared" si="99"/>
        <v>0</v>
      </c>
      <c r="BB112" s="204">
        <f t="shared" si="99"/>
        <v>0</v>
      </c>
      <c r="BC112" s="208">
        <f t="shared" si="82"/>
        <v>341</v>
      </c>
      <c r="BD112" s="209">
        <f t="shared" si="82"/>
        <v>478</v>
      </c>
      <c r="BE112" s="210">
        <f t="shared" si="83"/>
        <v>295</v>
      </c>
      <c r="BF112" s="211">
        <f t="shared" si="83"/>
        <v>402</v>
      </c>
      <c r="BG112" s="212">
        <f t="shared" si="84"/>
        <v>636</v>
      </c>
      <c r="BH112" s="213">
        <f t="shared" si="84"/>
        <v>880</v>
      </c>
    </row>
    <row r="113" spans="1:60" ht="21.6" thickBot="1" x14ac:dyDescent="0.35">
      <c r="A113" s="214" t="s">
        <v>402</v>
      </c>
      <c r="B113" s="179">
        <v>5</v>
      </c>
      <c r="C113" s="180">
        <v>15</v>
      </c>
      <c r="D113" s="215" t="s">
        <v>65</v>
      </c>
      <c r="E113" s="182" t="s">
        <v>475</v>
      </c>
      <c r="F113" s="281" t="s">
        <v>476</v>
      </c>
      <c r="G113" s="216" t="s">
        <v>477</v>
      </c>
      <c r="H113" s="217" t="s">
        <v>478</v>
      </c>
      <c r="I113" s="217" t="s">
        <v>479</v>
      </c>
      <c r="J113" s="218" t="s">
        <v>480</v>
      </c>
      <c r="K113" s="223">
        <f t="shared" si="96"/>
        <v>0.44583333333139308</v>
      </c>
      <c r="L113" s="222"/>
      <c r="M113" s="189">
        <f t="shared" si="85"/>
        <v>0.44583333333139308</v>
      </c>
      <c r="N113" s="189">
        <f t="shared" si="86"/>
        <v>0.46180555555474712</v>
      </c>
      <c r="O113" s="190">
        <f t="shared" si="87"/>
        <v>55.794392523607307</v>
      </c>
      <c r="P113" s="190">
        <f t="shared" si="88"/>
        <v>55.794392523607307</v>
      </c>
      <c r="Q113" s="191">
        <f t="shared" si="89"/>
        <v>53.864661654229629</v>
      </c>
      <c r="R113" s="227" t="s">
        <v>71</v>
      </c>
      <c r="S113" s="193">
        <v>138</v>
      </c>
      <c r="T113" s="194">
        <v>11</v>
      </c>
      <c r="U113" s="195">
        <v>121</v>
      </c>
      <c r="V113" s="196">
        <v>21</v>
      </c>
      <c r="W113" s="219">
        <v>0</v>
      </c>
      <c r="X113" s="220">
        <v>2</v>
      </c>
      <c r="Y113" s="199">
        <f t="shared" si="97"/>
        <v>293</v>
      </c>
      <c r="Z113" s="200">
        <f t="shared" si="98"/>
        <v>437</v>
      </c>
      <c r="AA113" s="193">
        <v>127</v>
      </c>
      <c r="AB113" s="194">
        <v>17</v>
      </c>
      <c r="AC113" s="195">
        <v>120</v>
      </c>
      <c r="AD113" s="201">
        <v>36</v>
      </c>
      <c r="AE113" s="221">
        <v>0</v>
      </c>
      <c r="AF113" s="220">
        <v>4</v>
      </c>
      <c r="AG113" s="199">
        <f t="shared" si="90"/>
        <v>304</v>
      </c>
      <c r="AH113" s="200">
        <f t="shared" si="91"/>
        <v>464</v>
      </c>
      <c r="AI113" s="203">
        <f t="shared" si="79"/>
        <v>597</v>
      </c>
      <c r="AJ113" s="204">
        <f t="shared" si="79"/>
        <v>901</v>
      </c>
      <c r="AK113" s="193"/>
      <c r="AL113" s="194"/>
      <c r="AM113" s="195"/>
      <c r="AN113" s="196"/>
      <c r="AO113" s="219"/>
      <c r="AP113" s="220"/>
      <c r="AQ113" s="205">
        <f t="shared" si="92"/>
        <v>0</v>
      </c>
      <c r="AR113" s="206">
        <f t="shared" si="93"/>
        <v>0</v>
      </c>
      <c r="AS113" s="193"/>
      <c r="AT113" s="194"/>
      <c r="AU113" s="195"/>
      <c r="AV113" s="196"/>
      <c r="AW113" s="219"/>
      <c r="AX113" s="220"/>
      <c r="AY113" s="205">
        <f t="shared" si="94"/>
        <v>0</v>
      </c>
      <c r="AZ113" s="206">
        <f t="shared" si="95"/>
        <v>0</v>
      </c>
      <c r="BA113" s="207">
        <f t="shared" si="99"/>
        <v>0</v>
      </c>
      <c r="BB113" s="204">
        <f t="shared" si="99"/>
        <v>0</v>
      </c>
      <c r="BC113" s="208">
        <f t="shared" si="82"/>
        <v>293</v>
      </c>
      <c r="BD113" s="209">
        <f t="shared" si="82"/>
        <v>437</v>
      </c>
      <c r="BE113" s="210">
        <f t="shared" si="83"/>
        <v>304</v>
      </c>
      <c r="BF113" s="211">
        <f t="shared" si="83"/>
        <v>464</v>
      </c>
      <c r="BG113" s="212">
        <f t="shared" si="84"/>
        <v>597</v>
      </c>
      <c r="BH113" s="213">
        <f t="shared" si="84"/>
        <v>901</v>
      </c>
    </row>
    <row r="114" spans="1:60" ht="21.6" thickBot="1" x14ac:dyDescent="0.35">
      <c r="A114" s="214" t="s">
        <v>402</v>
      </c>
      <c r="B114" s="179">
        <v>11</v>
      </c>
      <c r="C114" s="180">
        <v>16</v>
      </c>
      <c r="D114" s="215" t="s">
        <v>72</v>
      </c>
      <c r="E114" s="182" t="s">
        <v>481</v>
      </c>
      <c r="F114" s="183" t="s">
        <v>314</v>
      </c>
      <c r="G114" s="216" t="s">
        <v>482</v>
      </c>
      <c r="H114" s="217" t="s">
        <v>483</v>
      </c>
      <c r="I114" s="217" t="s">
        <v>484</v>
      </c>
      <c r="J114" s="218" t="s">
        <v>485</v>
      </c>
      <c r="K114" s="223">
        <f t="shared" si="96"/>
        <v>0.64722222222189885</v>
      </c>
      <c r="L114" s="222"/>
      <c r="M114" s="189">
        <f t="shared" si="85"/>
        <v>0.64722222222189885</v>
      </c>
      <c r="N114" s="189">
        <f t="shared" si="86"/>
        <v>0.92013888889050577</v>
      </c>
      <c r="O114" s="190">
        <f t="shared" si="87"/>
        <v>53.369098712473011</v>
      </c>
      <c r="P114" s="190">
        <f t="shared" si="88"/>
        <v>53.369098712473011</v>
      </c>
      <c r="Q114" s="191">
        <f t="shared" si="89"/>
        <v>37.539622641443465</v>
      </c>
      <c r="R114" s="192" t="s">
        <v>57</v>
      </c>
      <c r="S114" s="193">
        <v>132</v>
      </c>
      <c r="T114" s="194">
        <v>180</v>
      </c>
      <c r="U114" s="195">
        <v>72</v>
      </c>
      <c r="V114" s="196">
        <v>30</v>
      </c>
      <c r="W114" s="219">
        <v>0</v>
      </c>
      <c r="X114" s="220">
        <v>1</v>
      </c>
      <c r="Y114" s="199">
        <f t="shared" si="97"/>
        <v>415</v>
      </c>
      <c r="Z114" s="200">
        <f t="shared" si="98"/>
        <v>518</v>
      </c>
      <c r="AA114" s="193">
        <v>190</v>
      </c>
      <c r="AB114" s="194">
        <v>10</v>
      </c>
      <c r="AC114" s="195">
        <v>139</v>
      </c>
      <c r="AD114" s="201">
        <v>40</v>
      </c>
      <c r="AE114" s="221">
        <v>0</v>
      </c>
      <c r="AF114" s="220">
        <v>35</v>
      </c>
      <c r="AG114" s="199">
        <f t="shared" si="90"/>
        <v>414</v>
      </c>
      <c r="AH114" s="200">
        <f t="shared" si="91"/>
        <v>628</v>
      </c>
      <c r="AI114" s="203">
        <f t="shared" si="79"/>
        <v>829</v>
      </c>
      <c r="AJ114" s="204">
        <f t="shared" si="79"/>
        <v>1146</v>
      </c>
      <c r="AK114" s="193"/>
      <c r="AL114" s="194"/>
      <c r="AM114" s="195"/>
      <c r="AN114" s="196"/>
      <c r="AO114" s="219"/>
      <c r="AP114" s="220"/>
      <c r="AQ114" s="205">
        <f t="shared" si="92"/>
        <v>0</v>
      </c>
      <c r="AR114" s="206">
        <f t="shared" si="93"/>
        <v>0</v>
      </c>
      <c r="AS114" s="193"/>
      <c r="AT114" s="194"/>
      <c r="AU114" s="195"/>
      <c r="AV114" s="196"/>
      <c r="AW114" s="219"/>
      <c r="AX114" s="220"/>
      <c r="AY114" s="205">
        <f t="shared" si="94"/>
        <v>0</v>
      </c>
      <c r="AZ114" s="206">
        <f t="shared" si="95"/>
        <v>0</v>
      </c>
      <c r="BA114" s="207">
        <f t="shared" si="99"/>
        <v>0</v>
      </c>
      <c r="BB114" s="204">
        <f t="shared" si="99"/>
        <v>0</v>
      </c>
      <c r="BC114" s="208">
        <f t="shared" si="82"/>
        <v>415</v>
      </c>
      <c r="BD114" s="209">
        <f t="shared" si="82"/>
        <v>518</v>
      </c>
      <c r="BE114" s="210">
        <f t="shared" si="83"/>
        <v>414</v>
      </c>
      <c r="BF114" s="211">
        <f t="shared" si="83"/>
        <v>628</v>
      </c>
      <c r="BG114" s="212">
        <f t="shared" si="84"/>
        <v>829</v>
      </c>
      <c r="BH114" s="213">
        <f t="shared" si="84"/>
        <v>1146</v>
      </c>
    </row>
    <row r="115" spans="1:60" ht="21.6" thickBot="1" x14ac:dyDescent="0.35">
      <c r="A115" s="214" t="s">
        <v>402</v>
      </c>
      <c r="B115" s="179">
        <v>12</v>
      </c>
      <c r="C115" s="180">
        <v>17</v>
      </c>
      <c r="D115" s="215" t="s">
        <v>51</v>
      </c>
      <c r="E115" s="182" t="s">
        <v>486</v>
      </c>
      <c r="F115" s="183" t="s">
        <v>476</v>
      </c>
      <c r="G115" s="216" t="s">
        <v>487</v>
      </c>
      <c r="H115" s="217" t="s">
        <v>488</v>
      </c>
      <c r="I115" s="217" t="s">
        <v>489</v>
      </c>
      <c r="J115" s="218" t="s">
        <v>490</v>
      </c>
      <c r="K115" s="223">
        <f t="shared" si="96"/>
        <v>0.6055555555576575</v>
      </c>
      <c r="L115" s="222"/>
      <c r="M115" s="189">
        <f t="shared" si="85"/>
        <v>0.6055555555576575</v>
      </c>
      <c r="N115" s="189">
        <f t="shared" si="86"/>
        <v>0.70138888888322981</v>
      </c>
      <c r="O115" s="190">
        <f t="shared" si="87"/>
        <v>47.614678898917298</v>
      </c>
      <c r="P115" s="190">
        <f t="shared" si="88"/>
        <v>47.614678898917298</v>
      </c>
      <c r="Q115" s="191">
        <f t="shared" si="89"/>
        <v>41.108910891420791</v>
      </c>
      <c r="R115" s="192" t="s">
        <v>57</v>
      </c>
      <c r="S115" s="193">
        <v>195</v>
      </c>
      <c r="T115" s="194">
        <v>60</v>
      </c>
      <c r="U115" s="195">
        <v>71</v>
      </c>
      <c r="V115" s="196">
        <v>54</v>
      </c>
      <c r="W115" s="219">
        <v>0</v>
      </c>
      <c r="X115" s="220">
        <v>2</v>
      </c>
      <c r="Y115" s="199">
        <f t="shared" ref="Y115:Y127" si="100">SUM(S115:X115)</f>
        <v>382</v>
      </c>
      <c r="Z115" s="200">
        <f t="shared" si="98"/>
        <v>509</v>
      </c>
      <c r="AA115" s="193">
        <v>141</v>
      </c>
      <c r="AB115" s="194">
        <v>60</v>
      </c>
      <c r="AC115" s="195">
        <v>72</v>
      </c>
      <c r="AD115" s="201">
        <v>21</v>
      </c>
      <c r="AE115" s="221">
        <v>0</v>
      </c>
      <c r="AF115" s="220">
        <v>16</v>
      </c>
      <c r="AG115" s="199">
        <f t="shared" si="90"/>
        <v>310</v>
      </c>
      <c r="AH115" s="200">
        <f t="shared" si="91"/>
        <v>419</v>
      </c>
      <c r="AI115" s="203">
        <f t="shared" si="79"/>
        <v>692</v>
      </c>
      <c r="AJ115" s="204">
        <f t="shared" si="79"/>
        <v>928</v>
      </c>
      <c r="AK115" s="193"/>
      <c r="AL115" s="194"/>
      <c r="AM115" s="195"/>
      <c r="AN115" s="196"/>
      <c r="AO115" s="219"/>
      <c r="AP115" s="220"/>
      <c r="AQ115" s="205">
        <f t="shared" si="92"/>
        <v>0</v>
      </c>
      <c r="AR115" s="206">
        <f t="shared" si="93"/>
        <v>0</v>
      </c>
      <c r="AS115" s="193"/>
      <c r="AT115" s="194"/>
      <c r="AU115" s="195"/>
      <c r="AV115" s="196"/>
      <c r="AW115" s="219"/>
      <c r="AX115" s="220"/>
      <c r="AY115" s="205">
        <f t="shared" si="94"/>
        <v>0</v>
      </c>
      <c r="AZ115" s="206">
        <f t="shared" si="95"/>
        <v>0</v>
      </c>
      <c r="BA115" s="207">
        <f t="shared" si="99"/>
        <v>0</v>
      </c>
      <c r="BB115" s="204">
        <f t="shared" si="99"/>
        <v>0</v>
      </c>
      <c r="BC115" s="208">
        <f t="shared" si="82"/>
        <v>382</v>
      </c>
      <c r="BD115" s="209">
        <f t="shared" si="82"/>
        <v>509</v>
      </c>
      <c r="BE115" s="210">
        <f t="shared" si="83"/>
        <v>310</v>
      </c>
      <c r="BF115" s="211">
        <f t="shared" si="83"/>
        <v>419</v>
      </c>
      <c r="BG115" s="212">
        <f t="shared" si="84"/>
        <v>692</v>
      </c>
      <c r="BH115" s="213">
        <f t="shared" si="84"/>
        <v>928</v>
      </c>
    </row>
    <row r="116" spans="1:60" ht="21.6" thickBot="1" x14ac:dyDescent="0.35">
      <c r="A116" s="214" t="s">
        <v>402</v>
      </c>
      <c r="B116" s="179">
        <v>6</v>
      </c>
      <c r="C116" s="180">
        <v>18</v>
      </c>
      <c r="D116" s="215" t="s">
        <v>79</v>
      </c>
      <c r="E116" s="182" t="s">
        <v>491</v>
      </c>
      <c r="F116" s="183" t="s">
        <v>476</v>
      </c>
      <c r="G116" s="216" t="s">
        <v>492</v>
      </c>
      <c r="H116" s="217" t="s">
        <v>493</v>
      </c>
      <c r="I116" s="217" t="s">
        <v>494</v>
      </c>
      <c r="J116" s="218" t="s">
        <v>495</v>
      </c>
      <c r="K116" s="223">
        <f t="shared" si="96"/>
        <v>0.44305555555183673</v>
      </c>
      <c r="L116" s="222"/>
      <c r="M116" s="189">
        <f t="shared" si="85"/>
        <v>0.44305555555183673</v>
      </c>
      <c r="N116" s="189">
        <f t="shared" si="86"/>
        <v>0.49305555555474712</v>
      </c>
      <c r="O116" s="190">
        <f t="shared" si="87"/>
        <v>54.169278997319878</v>
      </c>
      <c r="P116" s="190">
        <f t="shared" si="88"/>
        <v>54.169278997319878</v>
      </c>
      <c r="Q116" s="191">
        <f t="shared" si="89"/>
        <v>48.676056338107976</v>
      </c>
      <c r="R116" s="227" t="s">
        <v>71</v>
      </c>
      <c r="S116" s="193">
        <v>141</v>
      </c>
      <c r="T116" s="194">
        <v>2</v>
      </c>
      <c r="U116" s="195">
        <v>131</v>
      </c>
      <c r="V116" s="196">
        <v>18</v>
      </c>
      <c r="W116" s="219">
        <v>0</v>
      </c>
      <c r="X116" s="220">
        <v>1</v>
      </c>
      <c r="Y116" s="199">
        <f t="shared" si="100"/>
        <v>293</v>
      </c>
      <c r="Z116" s="200">
        <f t="shared" si="98"/>
        <v>443</v>
      </c>
      <c r="AA116" s="193">
        <v>130</v>
      </c>
      <c r="AB116" s="194">
        <v>4</v>
      </c>
      <c r="AC116" s="195">
        <v>123</v>
      </c>
      <c r="AD116" s="201">
        <v>21</v>
      </c>
      <c r="AE116" s="221">
        <v>0</v>
      </c>
      <c r="AF116" s="220">
        <v>5</v>
      </c>
      <c r="AG116" s="199">
        <f t="shared" si="90"/>
        <v>283</v>
      </c>
      <c r="AH116" s="200">
        <f t="shared" si="91"/>
        <v>432</v>
      </c>
      <c r="AI116" s="203">
        <f t="shared" si="79"/>
        <v>576</v>
      </c>
      <c r="AJ116" s="204">
        <f t="shared" si="79"/>
        <v>875</v>
      </c>
      <c r="AK116" s="193"/>
      <c r="AL116" s="194"/>
      <c r="AM116" s="195"/>
      <c r="AN116" s="196"/>
      <c r="AO116" s="219"/>
      <c r="AP116" s="220"/>
      <c r="AQ116" s="205">
        <f t="shared" si="92"/>
        <v>0</v>
      </c>
      <c r="AR116" s="206">
        <f t="shared" si="93"/>
        <v>0</v>
      </c>
      <c r="AS116" s="193"/>
      <c r="AT116" s="194"/>
      <c r="AU116" s="195"/>
      <c r="AV116" s="196"/>
      <c r="AW116" s="219"/>
      <c r="AX116" s="220"/>
      <c r="AY116" s="205">
        <f t="shared" si="94"/>
        <v>0</v>
      </c>
      <c r="AZ116" s="206">
        <f t="shared" si="95"/>
        <v>0</v>
      </c>
      <c r="BA116" s="207">
        <f t="shared" si="99"/>
        <v>0</v>
      </c>
      <c r="BB116" s="204">
        <f t="shared" si="99"/>
        <v>0</v>
      </c>
      <c r="BC116" s="208">
        <f t="shared" si="82"/>
        <v>293</v>
      </c>
      <c r="BD116" s="209">
        <f t="shared" si="82"/>
        <v>443</v>
      </c>
      <c r="BE116" s="210">
        <f t="shared" si="83"/>
        <v>283</v>
      </c>
      <c r="BF116" s="211">
        <f t="shared" si="83"/>
        <v>432</v>
      </c>
      <c r="BG116" s="212">
        <f t="shared" si="84"/>
        <v>576</v>
      </c>
      <c r="BH116" s="213">
        <f t="shared" si="84"/>
        <v>875</v>
      </c>
    </row>
    <row r="117" spans="1:60" ht="21.6" thickBot="1" x14ac:dyDescent="0.35">
      <c r="A117" s="214" t="s">
        <v>402</v>
      </c>
      <c r="B117" s="179">
        <v>13</v>
      </c>
      <c r="C117" s="180">
        <v>19</v>
      </c>
      <c r="D117" s="215" t="s">
        <v>58</v>
      </c>
      <c r="E117" s="182" t="s">
        <v>496</v>
      </c>
      <c r="F117" s="183" t="s">
        <v>476</v>
      </c>
      <c r="G117" s="216" t="s">
        <v>497</v>
      </c>
      <c r="H117" s="217" t="s">
        <v>498</v>
      </c>
      <c r="I117" s="217" t="s">
        <v>499</v>
      </c>
      <c r="J117" s="218" t="s">
        <v>500</v>
      </c>
      <c r="K117" s="223">
        <f t="shared" si="96"/>
        <v>0.54583333332993789</v>
      </c>
      <c r="L117" s="222"/>
      <c r="M117" s="189">
        <f t="shared" si="85"/>
        <v>0.54583333332993789</v>
      </c>
      <c r="N117" s="189">
        <f t="shared" si="86"/>
        <v>0.66319444444525288</v>
      </c>
      <c r="O117" s="190">
        <f t="shared" si="87"/>
        <v>42.977099236908572</v>
      </c>
      <c r="P117" s="190">
        <f t="shared" si="88"/>
        <v>42.977099236908572</v>
      </c>
      <c r="Q117" s="191">
        <f t="shared" si="89"/>
        <v>35.371727748647977</v>
      </c>
      <c r="R117" s="192" t="s">
        <v>57</v>
      </c>
      <c r="S117" s="193">
        <v>44</v>
      </c>
      <c r="T117" s="194">
        <v>31</v>
      </c>
      <c r="U117" s="195">
        <v>22</v>
      </c>
      <c r="V117" s="196">
        <v>30</v>
      </c>
      <c r="W117" s="219">
        <v>0</v>
      </c>
      <c r="X117" s="220">
        <v>0</v>
      </c>
      <c r="Y117" s="199">
        <f t="shared" si="100"/>
        <v>127</v>
      </c>
      <c r="Z117" s="200">
        <f t="shared" si="98"/>
        <v>179</v>
      </c>
      <c r="AA117" s="193">
        <v>68</v>
      </c>
      <c r="AB117" s="194">
        <v>121</v>
      </c>
      <c r="AC117" s="195">
        <v>57</v>
      </c>
      <c r="AD117" s="201">
        <v>190</v>
      </c>
      <c r="AE117" s="221">
        <v>0</v>
      </c>
      <c r="AF117" s="220">
        <v>0</v>
      </c>
      <c r="AG117" s="199">
        <f t="shared" si="90"/>
        <v>436</v>
      </c>
      <c r="AH117" s="200">
        <f t="shared" si="91"/>
        <v>683</v>
      </c>
      <c r="AI117" s="203">
        <f t="shared" si="79"/>
        <v>563</v>
      </c>
      <c r="AJ117" s="204">
        <f t="shared" si="79"/>
        <v>862</v>
      </c>
      <c r="AK117" s="193"/>
      <c r="AL117" s="194"/>
      <c r="AM117" s="195"/>
      <c r="AN117" s="196"/>
      <c r="AO117" s="219"/>
      <c r="AP117" s="220"/>
      <c r="AQ117" s="205">
        <f t="shared" si="92"/>
        <v>0</v>
      </c>
      <c r="AR117" s="206">
        <f t="shared" si="93"/>
        <v>0</v>
      </c>
      <c r="AS117" s="193"/>
      <c r="AT117" s="194"/>
      <c r="AU117" s="195"/>
      <c r="AV117" s="196"/>
      <c r="AW117" s="219"/>
      <c r="AX117" s="220"/>
      <c r="AY117" s="205">
        <f t="shared" si="94"/>
        <v>0</v>
      </c>
      <c r="AZ117" s="206">
        <f t="shared" si="95"/>
        <v>0</v>
      </c>
      <c r="BA117" s="207">
        <f t="shared" si="99"/>
        <v>0</v>
      </c>
      <c r="BB117" s="204">
        <f t="shared" si="99"/>
        <v>0</v>
      </c>
      <c r="BC117" s="208">
        <f t="shared" si="82"/>
        <v>127</v>
      </c>
      <c r="BD117" s="209">
        <f t="shared" si="82"/>
        <v>179</v>
      </c>
      <c r="BE117" s="210">
        <f t="shared" si="83"/>
        <v>436</v>
      </c>
      <c r="BF117" s="211">
        <f t="shared" si="83"/>
        <v>683</v>
      </c>
      <c r="BG117" s="212">
        <f t="shared" si="84"/>
        <v>563</v>
      </c>
      <c r="BH117" s="213">
        <f t="shared" si="84"/>
        <v>862</v>
      </c>
    </row>
    <row r="118" spans="1:60" ht="21.6" thickBot="1" x14ac:dyDescent="0.35">
      <c r="A118" s="214" t="s">
        <v>402</v>
      </c>
      <c r="B118" s="179">
        <v>14</v>
      </c>
      <c r="C118" s="180">
        <v>20</v>
      </c>
      <c r="D118" s="215" t="s">
        <v>231</v>
      </c>
      <c r="E118" s="182" t="s">
        <v>501</v>
      </c>
      <c r="F118" s="183" t="s">
        <v>387</v>
      </c>
      <c r="G118" s="216" t="s">
        <v>502</v>
      </c>
      <c r="H118" s="217" t="s">
        <v>503</v>
      </c>
      <c r="I118" s="217" t="s">
        <v>504</v>
      </c>
      <c r="J118" s="218" t="s">
        <v>505</v>
      </c>
      <c r="K118" s="223">
        <f t="shared" si="96"/>
        <v>0.67638888888905058</v>
      </c>
      <c r="L118" s="222">
        <v>0.15277777777373558</v>
      </c>
      <c r="M118" s="189">
        <f t="shared" si="85"/>
        <v>0.523611111115315</v>
      </c>
      <c r="N118" s="189">
        <f t="shared" si="86"/>
        <v>0.72222222221898846</v>
      </c>
      <c r="O118" s="190">
        <f t="shared" si="87"/>
        <v>49.177718832496417</v>
      </c>
      <c r="P118" s="190">
        <f t="shared" si="88"/>
        <v>38.069815195062766</v>
      </c>
      <c r="Q118" s="191">
        <f t="shared" si="89"/>
        <v>35.653846154005798</v>
      </c>
      <c r="R118" s="192" t="s">
        <v>57</v>
      </c>
      <c r="S118" s="193">
        <v>145</v>
      </c>
      <c r="T118" s="194">
        <v>21</v>
      </c>
      <c r="U118" s="195">
        <v>74</v>
      </c>
      <c r="V118" s="196">
        <v>51</v>
      </c>
      <c r="W118" s="219">
        <v>0</v>
      </c>
      <c r="X118" s="220">
        <v>2</v>
      </c>
      <c r="Y118" s="199">
        <f>SUM(S118:X118)</f>
        <v>293</v>
      </c>
      <c r="Z118" s="200">
        <f t="shared" si="98"/>
        <v>420</v>
      </c>
      <c r="AA118" s="193">
        <v>148</v>
      </c>
      <c r="AB118" s="194">
        <v>0</v>
      </c>
      <c r="AC118" s="195">
        <v>77</v>
      </c>
      <c r="AD118" s="201">
        <v>71</v>
      </c>
      <c r="AE118" s="221">
        <v>0</v>
      </c>
      <c r="AF118" s="220">
        <v>29</v>
      </c>
      <c r="AG118" s="199">
        <f t="shared" si="90"/>
        <v>325</v>
      </c>
      <c r="AH118" s="200">
        <f t="shared" si="91"/>
        <v>502</v>
      </c>
      <c r="AI118" s="203">
        <f t="shared" si="79"/>
        <v>618</v>
      </c>
      <c r="AJ118" s="204">
        <f t="shared" si="79"/>
        <v>922</v>
      </c>
      <c r="AK118" s="193"/>
      <c r="AL118" s="194"/>
      <c r="AM118" s="195"/>
      <c r="AN118" s="196"/>
      <c r="AO118" s="219"/>
      <c r="AP118" s="220"/>
      <c r="AQ118" s="205">
        <f t="shared" si="92"/>
        <v>0</v>
      </c>
      <c r="AR118" s="206">
        <f t="shared" si="93"/>
        <v>0</v>
      </c>
      <c r="AS118" s="193"/>
      <c r="AT118" s="194"/>
      <c r="AU118" s="195"/>
      <c r="AV118" s="196"/>
      <c r="AW118" s="219"/>
      <c r="AX118" s="220"/>
      <c r="AY118" s="205">
        <f t="shared" si="94"/>
        <v>0</v>
      </c>
      <c r="AZ118" s="206">
        <f t="shared" si="95"/>
        <v>0</v>
      </c>
      <c r="BA118" s="207">
        <f t="shared" si="99"/>
        <v>0</v>
      </c>
      <c r="BB118" s="204">
        <f t="shared" si="99"/>
        <v>0</v>
      </c>
      <c r="BC118" s="208">
        <f t="shared" si="82"/>
        <v>293</v>
      </c>
      <c r="BD118" s="209">
        <f t="shared" si="82"/>
        <v>420</v>
      </c>
      <c r="BE118" s="210">
        <f t="shared" si="83"/>
        <v>325</v>
      </c>
      <c r="BF118" s="211">
        <f t="shared" si="83"/>
        <v>502</v>
      </c>
      <c r="BG118" s="212">
        <f t="shared" si="84"/>
        <v>618</v>
      </c>
      <c r="BH118" s="213">
        <f t="shared" si="84"/>
        <v>922</v>
      </c>
    </row>
    <row r="119" spans="1:60" ht="21.6" thickBot="1" x14ac:dyDescent="0.35">
      <c r="A119" s="214" t="s">
        <v>402</v>
      </c>
      <c r="B119" s="179">
        <v>7</v>
      </c>
      <c r="C119" s="180">
        <v>21</v>
      </c>
      <c r="D119" s="215" t="s">
        <v>65</v>
      </c>
      <c r="E119" s="182" t="s">
        <v>506</v>
      </c>
      <c r="F119" s="281" t="s">
        <v>507</v>
      </c>
      <c r="G119" s="216" t="s">
        <v>508</v>
      </c>
      <c r="H119" s="217" t="s">
        <v>509</v>
      </c>
      <c r="I119" s="217" t="s">
        <v>510</v>
      </c>
      <c r="J119" s="218" t="s">
        <v>511</v>
      </c>
      <c r="K119" s="223">
        <f t="shared" si="96"/>
        <v>0.49861111111385981</v>
      </c>
      <c r="L119" s="222">
        <v>1.3888888890505768E-2</v>
      </c>
      <c r="M119" s="189">
        <f t="shared" si="85"/>
        <v>0.48472222222335404</v>
      </c>
      <c r="N119" s="189">
        <f t="shared" si="86"/>
        <v>0.53125</v>
      </c>
      <c r="O119" s="190">
        <f t="shared" si="87"/>
        <v>48.739255014212837</v>
      </c>
      <c r="P119" s="190">
        <f t="shared" si="88"/>
        <v>47.381615598624592</v>
      </c>
      <c r="Q119" s="191">
        <f t="shared" si="89"/>
        <v>44.470588235294116</v>
      </c>
      <c r="R119" s="192" t="s">
        <v>71</v>
      </c>
      <c r="S119" s="193">
        <v>127</v>
      </c>
      <c r="T119" s="194">
        <v>2</v>
      </c>
      <c r="U119" s="195">
        <v>133</v>
      </c>
      <c r="V119" s="196">
        <v>30</v>
      </c>
      <c r="W119" s="219">
        <v>0</v>
      </c>
      <c r="X119" s="220">
        <v>3</v>
      </c>
      <c r="Y119" s="199">
        <f>SUM(S119:X119)</f>
        <v>295</v>
      </c>
      <c r="Z119" s="200">
        <f t="shared" si="98"/>
        <v>461</v>
      </c>
      <c r="AA119" s="193">
        <v>118</v>
      </c>
      <c r="AB119" s="194">
        <v>10</v>
      </c>
      <c r="AC119" s="195">
        <v>125</v>
      </c>
      <c r="AD119" s="201">
        <v>16</v>
      </c>
      <c r="AE119" s="221">
        <v>0</v>
      </c>
      <c r="AF119" s="220">
        <v>3</v>
      </c>
      <c r="AG119" s="199">
        <f t="shared" si="90"/>
        <v>272</v>
      </c>
      <c r="AH119" s="200">
        <f t="shared" si="91"/>
        <v>416</v>
      </c>
      <c r="AI119" s="203">
        <f t="shared" si="79"/>
        <v>567</v>
      </c>
      <c r="AJ119" s="204">
        <f t="shared" si="79"/>
        <v>877</v>
      </c>
      <c r="AK119" s="193"/>
      <c r="AL119" s="194"/>
      <c r="AM119" s="195"/>
      <c r="AN119" s="196"/>
      <c r="AO119" s="219"/>
      <c r="AP119" s="220"/>
      <c r="AQ119" s="205">
        <f t="shared" si="92"/>
        <v>0</v>
      </c>
      <c r="AR119" s="206">
        <f t="shared" si="93"/>
        <v>0</v>
      </c>
      <c r="AS119" s="193"/>
      <c r="AT119" s="194"/>
      <c r="AU119" s="195"/>
      <c r="AV119" s="196"/>
      <c r="AW119" s="219"/>
      <c r="AX119" s="220"/>
      <c r="AY119" s="205">
        <f t="shared" si="94"/>
        <v>0</v>
      </c>
      <c r="AZ119" s="206">
        <f t="shared" si="95"/>
        <v>0</v>
      </c>
      <c r="BA119" s="207">
        <f t="shared" si="99"/>
        <v>0</v>
      </c>
      <c r="BB119" s="204">
        <f t="shared" si="99"/>
        <v>0</v>
      </c>
      <c r="BC119" s="208">
        <f t="shared" si="82"/>
        <v>295</v>
      </c>
      <c r="BD119" s="209">
        <f t="shared" si="82"/>
        <v>461</v>
      </c>
      <c r="BE119" s="210">
        <f t="shared" si="83"/>
        <v>272</v>
      </c>
      <c r="BF119" s="211">
        <f t="shared" si="83"/>
        <v>416</v>
      </c>
      <c r="BG119" s="212">
        <f t="shared" si="84"/>
        <v>567</v>
      </c>
      <c r="BH119" s="213">
        <f t="shared" si="84"/>
        <v>877</v>
      </c>
    </row>
    <row r="120" spans="1:60" ht="21.6" thickBot="1" x14ac:dyDescent="0.35">
      <c r="A120" s="214" t="s">
        <v>402</v>
      </c>
      <c r="B120" s="179">
        <v>15</v>
      </c>
      <c r="C120" s="180">
        <v>22</v>
      </c>
      <c r="D120" s="215" t="s">
        <v>72</v>
      </c>
      <c r="E120" s="182" t="s">
        <v>512</v>
      </c>
      <c r="F120" s="183" t="s">
        <v>356</v>
      </c>
      <c r="G120" s="216" t="s">
        <v>513</v>
      </c>
      <c r="H120" s="217" t="s">
        <v>514</v>
      </c>
      <c r="I120" s="217" t="s">
        <v>515</v>
      </c>
      <c r="J120" s="218" t="s">
        <v>516</v>
      </c>
      <c r="K120" s="223">
        <f t="shared" si="96"/>
        <v>0.72318287037342088</v>
      </c>
      <c r="L120" s="222">
        <v>0.11111111111111094</v>
      </c>
      <c r="M120" s="189">
        <f t="shared" si="85"/>
        <v>0.61207175926230994</v>
      </c>
      <c r="N120" s="189">
        <f t="shared" si="86"/>
        <v>0.81944444444525288</v>
      </c>
      <c r="O120" s="190">
        <f t="shared" si="87"/>
        <v>55.140593385123118</v>
      </c>
      <c r="P120" s="190">
        <f t="shared" si="88"/>
        <v>46.668693884539785</v>
      </c>
      <c r="Q120" s="191">
        <f t="shared" si="89"/>
        <v>41.186440677925468</v>
      </c>
      <c r="R120" s="192" t="s">
        <v>57</v>
      </c>
      <c r="S120" s="193">
        <v>153</v>
      </c>
      <c r="T120" s="194">
        <v>140</v>
      </c>
      <c r="U120" s="195">
        <v>107</v>
      </c>
      <c r="V120" s="196">
        <v>21</v>
      </c>
      <c r="W120" s="219">
        <v>0</v>
      </c>
      <c r="X120" s="220">
        <v>3</v>
      </c>
      <c r="Y120" s="199">
        <f>SUM(S120:X120)</f>
        <v>424</v>
      </c>
      <c r="Z120" s="200">
        <f t="shared" si="98"/>
        <v>555</v>
      </c>
      <c r="AA120" s="193">
        <v>142</v>
      </c>
      <c r="AB120" s="194">
        <v>0</v>
      </c>
      <c r="AC120" s="195">
        <v>117</v>
      </c>
      <c r="AD120" s="201">
        <v>0</v>
      </c>
      <c r="AE120" s="221">
        <v>0</v>
      </c>
      <c r="AF120" s="220">
        <v>25</v>
      </c>
      <c r="AG120" s="199">
        <f t="shared" si="90"/>
        <v>284</v>
      </c>
      <c r="AH120" s="200">
        <f t="shared" si="91"/>
        <v>426</v>
      </c>
      <c r="AI120" s="203">
        <f t="shared" si="79"/>
        <v>708</v>
      </c>
      <c r="AJ120" s="204">
        <f t="shared" si="79"/>
        <v>981</v>
      </c>
      <c r="AK120" s="193">
        <v>0</v>
      </c>
      <c r="AL120" s="194">
        <v>0</v>
      </c>
      <c r="AM120" s="195">
        <v>51</v>
      </c>
      <c r="AN120" s="196">
        <v>0</v>
      </c>
      <c r="AO120" s="219">
        <v>0</v>
      </c>
      <c r="AP120" s="220">
        <v>0</v>
      </c>
      <c r="AQ120" s="205">
        <f t="shared" si="92"/>
        <v>51</v>
      </c>
      <c r="AR120" s="206">
        <f t="shared" si="93"/>
        <v>102</v>
      </c>
      <c r="AS120" s="193">
        <v>0</v>
      </c>
      <c r="AT120" s="194">
        <v>0</v>
      </c>
      <c r="AU120" s="195">
        <v>51</v>
      </c>
      <c r="AV120" s="196">
        <v>0</v>
      </c>
      <c r="AW120" s="219">
        <v>0</v>
      </c>
      <c r="AX120" s="220">
        <v>0</v>
      </c>
      <c r="AY120" s="205">
        <f t="shared" si="94"/>
        <v>51</v>
      </c>
      <c r="AZ120" s="206">
        <f t="shared" si="95"/>
        <v>102</v>
      </c>
      <c r="BA120" s="207">
        <f t="shared" si="99"/>
        <v>102</v>
      </c>
      <c r="BB120" s="204">
        <f t="shared" si="99"/>
        <v>204</v>
      </c>
      <c r="BC120" s="208">
        <f t="shared" si="82"/>
        <v>475</v>
      </c>
      <c r="BD120" s="209">
        <f t="shared" si="82"/>
        <v>657</v>
      </c>
      <c r="BE120" s="210">
        <f t="shared" si="83"/>
        <v>335</v>
      </c>
      <c r="BF120" s="211">
        <f t="shared" si="83"/>
        <v>528</v>
      </c>
      <c r="BG120" s="212">
        <f t="shared" si="84"/>
        <v>810</v>
      </c>
      <c r="BH120" s="213">
        <f t="shared" si="84"/>
        <v>1185</v>
      </c>
    </row>
    <row r="121" spans="1:60" ht="21.6" thickBot="1" x14ac:dyDescent="0.35">
      <c r="A121" s="214" t="s">
        <v>402</v>
      </c>
      <c r="B121" s="179">
        <v>16</v>
      </c>
      <c r="C121" s="180">
        <v>23</v>
      </c>
      <c r="D121" s="215" t="s">
        <v>51</v>
      </c>
      <c r="E121" s="182" t="s">
        <v>517</v>
      </c>
      <c r="F121" s="183" t="s">
        <v>507</v>
      </c>
      <c r="G121" s="216" t="s">
        <v>518</v>
      </c>
      <c r="H121" s="217" t="s">
        <v>519</v>
      </c>
      <c r="I121" s="217" t="s">
        <v>520</v>
      </c>
      <c r="J121" s="218" t="s">
        <v>521</v>
      </c>
      <c r="K121" s="223">
        <f t="shared" si="96"/>
        <v>0.47222222222626442</v>
      </c>
      <c r="L121" s="222"/>
      <c r="M121" s="189">
        <f t="shared" si="85"/>
        <v>0.47222222222626442</v>
      </c>
      <c r="N121" s="189">
        <f t="shared" si="86"/>
        <v>0.59027777778101154</v>
      </c>
      <c r="O121" s="190">
        <f t="shared" si="87"/>
        <v>47.205882352537095</v>
      </c>
      <c r="P121" s="190">
        <f t="shared" si="88"/>
        <v>47.205882352537095</v>
      </c>
      <c r="Q121" s="191">
        <f t="shared" si="89"/>
        <v>37.764705882146053</v>
      </c>
      <c r="R121" s="192" t="s">
        <v>57</v>
      </c>
      <c r="S121" s="193">
        <v>149</v>
      </c>
      <c r="T121" s="194">
        <v>80</v>
      </c>
      <c r="U121" s="195">
        <v>66</v>
      </c>
      <c r="V121" s="196">
        <v>26</v>
      </c>
      <c r="W121" s="219">
        <v>0</v>
      </c>
      <c r="X121" s="220">
        <v>4</v>
      </c>
      <c r="Y121" s="199">
        <f t="shared" si="100"/>
        <v>325</v>
      </c>
      <c r="Z121" s="200">
        <f t="shared" si="98"/>
        <v>421</v>
      </c>
      <c r="AA121" s="193">
        <v>122</v>
      </c>
      <c r="AB121" s="194">
        <v>0</v>
      </c>
      <c r="AC121" s="195">
        <v>65</v>
      </c>
      <c r="AD121" s="201">
        <v>0</v>
      </c>
      <c r="AE121" s="221">
        <v>0</v>
      </c>
      <c r="AF121" s="220">
        <v>23</v>
      </c>
      <c r="AG121" s="199">
        <f t="shared" si="90"/>
        <v>210</v>
      </c>
      <c r="AH121" s="200">
        <f t="shared" si="91"/>
        <v>298</v>
      </c>
      <c r="AI121" s="203">
        <f t="shared" si="79"/>
        <v>535</v>
      </c>
      <c r="AJ121" s="204">
        <f t="shared" si="79"/>
        <v>719</v>
      </c>
      <c r="AK121" s="193"/>
      <c r="AL121" s="194"/>
      <c r="AM121" s="195"/>
      <c r="AN121" s="196"/>
      <c r="AO121" s="219"/>
      <c r="AP121" s="220"/>
      <c r="AQ121" s="205">
        <f t="shared" si="92"/>
        <v>0</v>
      </c>
      <c r="AR121" s="206">
        <f t="shared" si="93"/>
        <v>0</v>
      </c>
      <c r="AS121" s="193"/>
      <c r="AT121" s="194"/>
      <c r="AU121" s="195"/>
      <c r="AV121" s="196"/>
      <c r="AW121" s="219"/>
      <c r="AX121" s="220"/>
      <c r="AY121" s="205">
        <f t="shared" si="94"/>
        <v>0</v>
      </c>
      <c r="AZ121" s="206">
        <f t="shared" si="95"/>
        <v>0</v>
      </c>
      <c r="BA121" s="207">
        <f t="shared" si="99"/>
        <v>0</v>
      </c>
      <c r="BB121" s="204">
        <f t="shared" si="99"/>
        <v>0</v>
      </c>
      <c r="BC121" s="208">
        <f t="shared" si="82"/>
        <v>325</v>
      </c>
      <c r="BD121" s="209">
        <f t="shared" si="82"/>
        <v>421</v>
      </c>
      <c r="BE121" s="210">
        <f t="shared" si="83"/>
        <v>210</v>
      </c>
      <c r="BF121" s="211">
        <f t="shared" si="83"/>
        <v>298</v>
      </c>
      <c r="BG121" s="212">
        <f t="shared" si="84"/>
        <v>535</v>
      </c>
      <c r="BH121" s="213">
        <f t="shared" si="84"/>
        <v>719</v>
      </c>
    </row>
    <row r="122" spans="1:60" ht="21.6" thickBot="1" x14ac:dyDescent="0.35">
      <c r="A122" s="214" t="s">
        <v>402</v>
      </c>
      <c r="B122" s="179">
        <v>8</v>
      </c>
      <c r="C122" s="180">
        <v>24</v>
      </c>
      <c r="D122" s="215" t="s">
        <v>79</v>
      </c>
      <c r="E122" s="182" t="s">
        <v>522</v>
      </c>
      <c r="F122" s="183" t="s">
        <v>507</v>
      </c>
      <c r="G122" s="216" t="s">
        <v>523</v>
      </c>
      <c r="H122" s="217" t="s">
        <v>524</v>
      </c>
      <c r="I122" s="217" t="s">
        <v>525</v>
      </c>
      <c r="J122" s="218" t="s">
        <v>526</v>
      </c>
      <c r="K122" s="223">
        <f t="shared" si="96"/>
        <v>0.42152777778392192</v>
      </c>
      <c r="L122" s="222"/>
      <c r="M122" s="189">
        <f t="shared" si="85"/>
        <v>0.42152777778392192</v>
      </c>
      <c r="N122" s="189">
        <f t="shared" si="86"/>
        <v>0.47569444444525288</v>
      </c>
      <c r="O122" s="190">
        <f t="shared" si="87"/>
        <v>55.947281712528842</v>
      </c>
      <c r="P122" s="190">
        <f t="shared" si="88"/>
        <v>55.947281712528842</v>
      </c>
      <c r="Q122" s="191">
        <f t="shared" si="89"/>
        <v>49.576642335682173</v>
      </c>
      <c r="R122" s="192" t="s">
        <v>71</v>
      </c>
      <c r="S122" s="193">
        <v>129</v>
      </c>
      <c r="T122" s="194">
        <v>3</v>
      </c>
      <c r="U122" s="195">
        <v>128</v>
      </c>
      <c r="V122" s="196">
        <v>42</v>
      </c>
      <c r="W122" s="219">
        <v>0</v>
      </c>
      <c r="X122" s="220">
        <v>2</v>
      </c>
      <c r="Y122" s="199">
        <f t="shared" si="100"/>
        <v>304</v>
      </c>
      <c r="Z122" s="200">
        <f t="shared" si="98"/>
        <v>476</v>
      </c>
      <c r="AA122" s="193">
        <v>84</v>
      </c>
      <c r="AB122" s="194">
        <v>12</v>
      </c>
      <c r="AC122" s="195">
        <v>143</v>
      </c>
      <c r="AD122" s="201">
        <v>23</v>
      </c>
      <c r="AE122" s="221">
        <v>0</v>
      </c>
      <c r="AF122" s="220">
        <v>0</v>
      </c>
      <c r="AG122" s="199">
        <f t="shared" si="90"/>
        <v>262</v>
      </c>
      <c r="AH122" s="200">
        <f t="shared" si="91"/>
        <v>428</v>
      </c>
      <c r="AI122" s="203">
        <f t="shared" si="79"/>
        <v>566</v>
      </c>
      <c r="AJ122" s="204">
        <f t="shared" si="79"/>
        <v>904</v>
      </c>
      <c r="AK122" s="193"/>
      <c r="AL122" s="194"/>
      <c r="AM122" s="195"/>
      <c r="AN122" s="196"/>
      <c r="AO122" s="219"/>
      <c r="AP122" s="220"/>
      <c r="AQ122" s="205">
        <f t="shared" si="92"/>
        <v>0</v>
      </c>
      <c r="AR122" s="206">
        <f t="shared" si="93"/>
        <v>0</v>
      </c>
      <c r="AS122" s="193"/>
      <c r="AT122" s="194"/>
      <c r="AU122" s="195"/>
      <c r="AV122" s="196"/>
      <c r="AW122" s="219"/>
      <c r="AX122" s="220"/>
      <c r="AY122" s="205">
        <f t="shared" si="94"/>
        <v>0</v>
      </c>
      <c r="AZ122" s="206">
        <f t="shared" si="95"/>
        <v>0</v>
      </c>
      <c r="BA122" s="207">
        <f t="shared" si="99"/>
        <v>0</v>
      </c>
      <c r="BB122" s="204">
        <f t="shared" si="99"/>
        <v>0</v>
      </c>
      <c r="BC122" s="208">
        <f t="shared" si="82"/>
        <v>304</v>
      </c>
      <c r="BD122" s="209">
        <f t="shared" si="82"/>
        <v>476</v>
      </c>
      <c r="BE122" s="210">
        <f t="shared" si="83"/>
        <v>262</v>
      </c>
      <c r="BF122" s="211">
        <f t="shared" si="83"/>
        <v>428</v>
      </c>
      <c r="BG122" s="212">
        <f t="shared" si="84"/>
        <v>566</v>
      </c>
      <c r="BH122" s="213">
        <f t="shared" si="84"/>
        <v>904</v>
      </c>
    </row>
    <row r="123" spans="1:60" ht="21.6" thickBot="1" x14ac:dyDescent="0.35">
      <c r="A123" s="214" t="s">
        <v>402</v>
      </c>
      <c r="B123" s="179">
        <v>17</v>
      </c>
      <c r="C123" s="180">
        <v>25</v>
      </c>
      <c r="D123" s="215" t="s">
        <v>58</v>
      </c>
      <c r="E123" s="182" t="s">
        <v>527</v>
      </c>
      <c r="F123" s="183" t="s">
        <v>507</v>
      </c>
      <c r="G123" s="216" t="s">
        <v>528</v>
      </c>
      <c r="H123" s="217" t="s">
        <v>529</v>
      </c>
      <c r="I123" s="217" t="s">
        <v>530</v>
      </c>
      <c r="J123" s="218" t="s">
        <v>531</v>
      </c>
      <c r="K123" s="223">
        <f t="shared" si="96"/>
        <v>0.53888888889196096</v>
      </c>
      <c r="L123" s="222">
        <v>7.6388888890505768E-2</v>
      </c>
      <c r="M123" s="189">
        <f t="shared" si="85"/>
        <v>0.46250000000145519</v>
      </c>
      <c r="N123" s="189">
        <f t="shared" si="86"/>
        <v>0.57986111110949423</v>
      </c>
      <c r="O123" s="190">
        <f t="shared" si="87"/>
        <v>39.729729729604728</v>
      </c>
      <c r="P123" s="190">
        <f t="shared" si="88"/>
        <v>34.097938144135512</v>
      </c>
      <c r="Q123" s="191">
        <f t="shared" si="89"/>
        <v>31.688622754579381</v>
      </c>
      <c r="R123" s="192" t="s">
        <v>57</v>
      </c>
      <c r="S123" s="193">
        <v>73</v>
      </c>
      <c r="T123" s="194">
        <v>88</v>
      </c>
      <c r="U123" s="195">
        <v>43</v>
      </c>
      <c r="V123" s="196">
        <v>53</v>
      </c>
      <c r="W123" s="232">
        <v>0</v>
      </c>
      <c r="X123" s="233">
        <v>0</v>
      </c>
      <c r="Y123" s="199">
        <f>SUM(S123:X123)</f>
        <v>257</v>
      </c>
      <c r="Z123" s="200">
        <f>Y123+SUM(U123:V123)+X123</f>
        <v>353</v>
      </c>
      <c r="AA123" s="193">
        <v>64</v>
      </c>
      <c r="AB123" s="194">
        <v>0</v>
      </c>
      <c r="AC123" s="195">
        <v>80</v>
      </c>
      <c r="AD123" s="201">
        <v>40</v>
      </c>
      <c r="AE123" s="234">
        <v>0</v>
      </c>
      <c r="AF123" s="233">
        <v>0</v>
      </c>
      <c r="AG123" s="199">
        <f t="shared" si="90"/>
        <v>184</v>
      </c>
      <c r="AH123" s="200">
        <f t="shared" si="91"/>
        <v>304</v>
      </c>
      <c r="AI123" s="203">
        <f t="shared" si="79"/>
        <v>441</v>
      </c>
      <c r="AJ123" s="204">
        <f t="shared" si="79"/>
        <v>657</v>
      </c>
      <c r="AK123" s="193"/>
      <c r="AL123" s="194"/>
      <c r="AM123" s="195"/>
      <c r="AN123" s="196"/>
      <c r="AO123" s="232"/>
      <c r="AP123" s="233"/>
      <c r="AQ123" s="205">
        <f t="shared" si="92"/>
        <v>0</v>
      </c>
      <c r="AR123" s="206">
        <f t="shared" si="93"/>
        <v>0</v>
      </c>
      <c r="AS123" s="193"/>
      <c r="AT123" s="194"/>
      <c r="AU123" s="195"/>
      <c r="AV123" s="196"/>
      <c r="AW123" s="232"/>
      <c r="AX123" s="233"/>
      <c r="AY123" s="205">
        <f t="shared" si="94"/>
        <v>0</v>
      </c>
      <c r="AZ123" s="206">
        <f t="shared" si="95"/>
        <v>0</v>
      </c>
      <c r="BA123" s="207">
        <f t="shared" si="99"/>
        <v>0</v>
      </c>
      <c r="BB123" s="204">
        <f t="shared" si="99"/>
        <v>0</v>
      </c>
      <c r="BC123" s="208">
        <f t="shared" si="82"/>
        <v>257</v>
      </c>
      <c r="BD123" s="209">
        <f t="shared" si="82"/>
        <v>353</v>
      </c>
      <c r="BE123" s="210">
        <f t="shared" si="83"/>
        <v>184</v>
      </c>
      <c r="BF123" s="211">
        <f t="shared" si="83"/>
        <v>304</v>
      </c>
      <c r="BG123" s="212">
        <f t="shared" si="84"/>
        <v>441</v>
      </c>
      <c r="BH123" s="213">
        <f t="shared" si="84"/>
        <v>657</v>
      </c>
    </row>
    <row r="124" spans="1:60" ht="21.6" hidden="1" thickBot="1" x14ac:dyDescent="0.35">
      <c r="A124" s="214" t="s">
        <v>402</v>
      </c>
      <c r="B124" s="179"/>
      <c r="C124" s="180"/>
      <c r="D124" s="215"/>
      <c r="E124" s="182"/>
      <c r="F124" s="183"/>
      <c r="G124" s="216"/>
      <c r="H124" s="217"/>
      <c r="I124" s="217"/>
      <c r="J124" s="218"/>
      <c r="K124" s="223">
        <f t="shared" si="96"/>
        <v>0</v>
      </c>
      <c r="L124" s="222"/>
      <c r="M124" s="229"/>
      <c r="N124" s="229">
        <f t="shared" si="86"/>
        <v>0</v>
      </c>
      <c r="O124" s="230"/>
      <c r="P124" s="230"/>
      <c r="Q124" s="231"/>
      <c r="R124" s="192">
        <v>0</v>
      </c>
      <c r="S124" s="193"/>
      <c r="T124" s="194"/>
      <c r="U124" s="195"/>
      <c r="V124" s="196"/>
      <c r="W124" s="232"/>
      <c r="X124" s="233"/>
      <c r="Y124" s="199">
        <f t="shared" si="100"/>
        <v>0</v>
      </c>
      <c r="Z124" s="200">
        <f t="shared" si="98"/>
        <v>0</v>
      </c>
      <c r="AA124" s="193"/>
      <c r="AB124" s="194"/>
      <c r="AC124" s="195"/>
      <c r="AD124" s="201"/>
      <c r="AE124" s="234"/>
      <c r="AF124" s="233"/>
      <c r="AG124" s="199">
        <f t="shared" si="90"/>
        <v>0</v>
      </c>
      <c r="AH124" s="200">
        <f t="shared" si="91"/>
        <v>0</v>
      </c>
      <c r="AI124" s="203">
        <f t="shared" si="79"/>
        <v>0</v>
      </c>
      <c r="AJ124" s="204">
        <f t="shared" si="79"/>
        <v>0</v>
      </c>
      <c r="AK124" s="193"/>
      <c r="AL124" s="194"/>
      <c r="AM124" s="195"/>
      <c r="AN124" s="196"/>
      <c r="AO124" s="232"/>
      <c r="AP124" s="233"/>
      <c r="AQ124" s="205">
        <f t="shared" si="92"/>
        <v>0</v>
      </c>
      <c r="AR124" s="206">
        <f t="shared" si="93"/>
        <v>0</v>
      </c>
      <c r="AS124" s="193"/>
      <c r="AT124" s="194"/>
      <c r="AU124" s="195"/>
      <c r="AV124" s="196"/>
      <c r="AW124" s="232"/>
      <c r="AX124" s="233"/>
      <c r="AY124" s="205">
        <f t="shared" si="94"/>
        <v>0</v>
      </c>
      <c r="AZ124" s="206">
        <f t="shared" si="95"/>
        <v>0</v>
      </c>
      <c r="BA124" s="207">
        <f t="shared" si="99"/>
        <v>0</v>
      </c>
      <c r="BB124" s="204">
        <f t="shared" si="99"/>
        <v>0</v>
      </c>
      <c r="BC124" s="208">
        <f t="shared" si="82"/>
        <v>0</v>
      </c>
      <c r="BD124" s="209">
        <f t="shared" si="82"/>
        <v>0</v>
      </c>
      <c r="BE124" s="210">
        <f t="shared" si="83"/>
        <v>0</v>
      </c>
      <c r="BF124" s="211">
        <f t="shared" si="83"/>
        <v>0</v>
      </c>
      <c r="BG124" s="212">
        <f t="shared" si="84"/>
        <v>0</v>
      </c>
      <c r="BH124" s="213">
        <f t="shared" si="84"/>
        <v>0</v>
      </c>
    </row>
    <row r="125" spans="1:60" ht="21.6" hidden="1" thickBot="1" x14ac:dyDescent="0.35">
      <c r="A125" s="214" t="s">
        <v>402</v>
      </c>
      <c r="B125" s="179"/>
      <c r="C125" s="180"/>
      <c r="D125" s="215"/>
      <c r="E125" s="182"/>
      <c r="F125" s="183"/>
      <c r="G125" s="216"/>
      <c r="H125" s="217"/>
      <c r="I125" s="217"/>
      <c r="J125" s="218"/>
      <c r="K125" s="223">
        <f t="shared" si="96"/>
        <v>0</v>
      </c>
      <c r="L125" s="222"/>
      <c r="M125" s="229"/>
      <c r="N125" s="229">
        <f t="shared" si="86"/>
        <v>0</v>
      </c>
      <c r="O125" s="230"/>
      <c r="P125" s="230"/>
      <c r="Q125" s="231"/>
      <c r="R125" s="192">
        <v>0</v>
      </c>
      <c r="S125" s="193"/>
      <c r="T125" s="194"/>
      <c r="U125" s="195"/>
      <c r="V125" s="196"/>
      <c r="W125" s="232"/>
      <c r="X125" s="233"/>
      <c r="Y125" s="199">
        <f t="shared" si="100"/>
        <v>0</v>
      </c>
      <c r="Z125" s="200">
        <f t="shared" si="98"/>
        <v>0</v>
      </c>
      <c r="AA125" s="193"/>
      <c r="AB125" s="194"/>
      <c r="AC125" s="195"/>
      <c r="AD125" s="201"/>
      <c r="AE125" s="234"/>
      <c r="AF125" s="233"/>
      <c r="AG125" s="199">
        <f t="shared" si="90"/>
        <v>0</v>
      </c>
      <c r="AH125" s="200">
        <f t="shared" si="91"/>
        <v>0</v>
      </c>
      <c r="AI125" s="203">
        <f t="shared" si="79"/>
        <v>0</v>
      </c>
      <c r="AJ125" s="204">
        <f t="shared" si="79"/>
        <v>0</v>
      </c>
      <c r="AK125" s="193"/>
      <c r="AL125" s="194"/>
      <c r="AM125" s="195"/>
      <c r="AN125" s="196"/>
      <c r="AO125" s="232"/>
      <c r="AP125" s="233"/>
      <c r="AQ125" s="205">
        <f t="shared" si="92"/>
        <v>0</v>
      </c>
      <c r="AR125" s="206">
        <f t="shared" si="93"/>
        <v>0</v>
      </c>
      <c r="AS125" s="193"/>
      <c r="AT125" s="194"/>
      <c r="AU125" s="195"/>
      <c r="AV125" s="196"/>
      <c r="AW125" s="232"/>
      <c r="AX125" s="233"/>
      <c r="AY125" s="205">
        <f t="shared" si="94"/>
        <v>0</v>
      </c>
      <c r="AZ125" s="206">
        <f t="shared" si="95"/>
        <v>0</v>
      </c>
      <c r="BA125" s="207">
        <f t="shared" si="99"/>
        <v>0</v>
      </c>
      <c r="BB125" s="204">
        <f t="shared" si="99"/>
        <v>0</v>
      </c>
      <c r="BC125" s="208">
        <f t="shared" si="82"/>
        <v>0</v>
      </c>
      <c r="BD125" s="209">
        <f t="shared" si="82"/>
        <v>0</v>
      </c>
      <c r="BE125" s="210">
        <f t="shared" si="83"/>
        <v>0</v>
      </c>
      <c r="BF125" s="211">
        <f t="shared" si="83"/>
        <v>0</v>
      </c>
      <c r="BG125" s="212">
        <f t="shared" si="84"/>
        <v>0</v>
      </c>
      <c r="BH125" s="213">
        <f t="shared" si="84"/>
        <v>0</v>
      </c>
    </row>
    <row r="126" spans="1:60" ht="21.6" hidden="1" thickBot="1" x14ac:dyDescent="0.35">
      <c r="A126" s="214" t="s">
        <v>402</v>
      </c>
      <c r="B126" s="306"/>
      <c r="C126" s="180"/>
      <c r="D126" s="215"/>
      <c r="E126" s="182"/>
      <c r="F126" s="183"/>
      <c r="G126" s="216"/>
      <c r="H126" s="217"/>
      <c r="I126" s="217"/>
      <c r="J126" s="218"/>
      <c r="K126" s="223">
        <f t="shared" si="96"/>
        <v>0</v>
      </c>
      <c r="L126" s="222"/>
      <c r="M126" s="229"/>
      <c r="N126" s="229">
        <f t="shared" si="86"/>
        <v>0</v>
      </c>
      <c r="O126" s="230"/>
      <c r="P126" s="230"/>
      <c r="Q126" s="231"/>
      <c r="R126" s="192">
        <v>0</v>
      </c>
      <c r="S126" s="193"/>
      <c r="T126" s="194"/>
      <c r="U126" s="195"/>
      <c r="V126" s="196"/>
      <c r="W126" s="232"/>
      <c r="X126" s="233"/>
      <c r="Y126" s="199">
        <f t="shared" si="100"/>
        <v>0</v>
      </c>
      <c r="Z126" s="200">
        <f t="shared" si="98"/>
        <v>0</v>
      </c>
      <c r="AA126" s="193"/>
      <c r="AB126" s="194"/>
      <c r="AC126" s="195"/>
      <c r="AD126" s="201"/>
      <c r="AE126" s="234"/>
      <c r="AF126" s="233"/>
      <c r="AG126" s="199">
        <f t="shared" si="90"/>
        <v>0</v>
      </c>
      <c r="AH126" s="200">
        <f t="shared" si="91"/>
        <v>0</v>
      </c>
      <c r="AI126" s="203">
        <f t="shared" si="79"/>
        <v>0</v>
      </c>
      <c r="AJ126" s="204">
        <f t="shared" si="79"/>
        <v>0</v>
      </c>
      <c r="AK126" s="193"/>
      <c r="AL126" s="194"/>
      <c r="AM126" s="195"/>
      <c r="AN126" s="196"/>
      <c r="AO126" s="232"/>
      <c r="AP126" s="233"/>
      <c r="AQ126" s="205">
        <f t="shared" si="92"/>
        <v>0</v>
      </c>
      <c r="AR126" s="206">
        <f t="shared" si="93"/>
        <v>0</v>
      </c>
      <c r="AS126" s="193"/>
      <c r="AT126" s="194"/>
      <c r="AU126" s="195"/>
      <c r="AV126" s="196"/>
      <c r="AW126" s="232"/>
      <c r="AX126" s="233"/>
      <c r="AY126" s="205">
        <f t="shared" si="94"/>
        <v>0</v>
      </c>
      <c r="AZ126" s="206">
        <f t="shared" si="95"/>
        <v>0</v>
      </c>
      <c r="BA126" s="207">
        <f t="shared" si="99"/>
        <v>0</v>
      </c>
      <c r="BB126" s="204">
        <f t="shared" si="99"/>
        <v>0</v>
      </c>
      <c r="BC126" s="208">
        <f t="shared" si="82"/>
        <v>0</v>
      </c>
      <c r="BD126" s="209">
        <f t="shared" si="82"/>
        <v>0</v>
      </c>
      <c r="BE126" s="210">
        <f t="shared" si="83"/>
        <v>0</v>
      </c>
      <c r="BF126" s="211">
        <f t="shared" si="83"/>
        <v>0</v>
      </c>
      <c r="BG126" s="212">
        <f t="shared" si="84"/>
        <v>0</v>
      </c>
      <c r="BH126" s="213">
        <f t="shared" si="84"/>
        <v>0</v>
      </c>
    </row>
    <row r="127" spans="1:60" ht="21.6" hidden="1" thickBot="1" x14ac:dyDescent="0.35">
      <c r="A127" s="235" t="s">
        <v>402</v>
      </c>
      <c r="B127" s="307"/>
      <c r="C127" s="256"/>
      <c r="D127" s="257"/>
      <c r="E127" s="258"/>
      <c r="F127" s="259"/>
      <c r="G127" s="308"/>
      <c r="H127" s="309"/>
      <c r="I127" s="309"/>
      <c r="J127" s="310"/>
      <c r="K127" s="311">
        <f t="shared" si="96"/>
        <v>0</v>
      </c>
      <c r="L127" s="312"/>
      <c r="M127" s="313"/>
      <c r="N127" s="313">
        <f t="shared" si="86"/>
        <v>0</v>
      </c>
      <c r="O127" s="314"/>
      <c r="P127" s="314"/>
      <c r="Q127" s="315"/>
      <c r="R127" s="265">
        <v>0</v>
      </c>
      <c r="S127" s="239"/>
      <c r="T127" s="240"/>
      <c r="U127" s="241"/>
      <c r="V127" s="242"/>
      <c r="W127" s="243"/>
      <c r="X127" s="244"/>
      <c r="Y127" s="245">
        <f t="shared" si="100"/>
        <v>0</v>
      </c>
      <c r="Z127" s="200">
        <f t="shared" si="98"/>
        <v>0</v>
      </c>
      <c r="AA127" s="239"/>
      <c r="AB127" s="240"/>
      <c r="AC127" s="241"/>
      <c r="AD127" s="246"/>
      <c r="AE127" s="247"/>
      <c r="AF127" s="244"/>
      <c r="AG127" s="245">
        <f t="shared" si="90"/>
        <v>0</v>
      </c>
      <c r="AH127" s="200">
        <f t="shared" si="91"/>
        <v>0</v>
      </c>
      <c r="AI127" s="248">
        <f t="shared" si="79"/>
        <v>0</v>
      </c>
      <c r="AJ127" s="249">
        <f t="shared" si="79"/>
        <v>0</v>
      </c>
      <c r="AK127" s="193"/>
      <c r="AL127" s="194"/>
      <c r="AM127" s="195"/>
      <c r="AN127" s="196"/>
      <c r="AO127" s="243"/>
      <c r="AP127" s="244"/>
      <c r="AQ127" s="205">
        <f t="shared" si="92"/>
        <v>0</v>
      </c>
      <c r="AR127" s="206">
        <f t="shared" si="93"/>
        <v>0</v>
      </c>
      <c r="AS127" s="193"/>
      <c r="AT127" s="194"/>
      <c r="AU127" s="195"/>
      <c r="AV127" s="196"/>
      <c r="AW127" s="243"/>
      <c r="AX127" s="244"/>
      <c r="AY127" s="205">
        <f t="shared" si="94"/>
        <v>0</v>
      </c>
      <c r="AZ127" s="206">
        <f t="shared" si="95"/>
        <v>0</v>
      </c>
      <c r="BA127" s="207">
        <f t="shared" si="99"/>
        <v>0</v>
      </c>
      <c r="BB127" s="204">
        <f t="shared" si="99"/>
        <v>0</v>
      </c>
      <c r="BC127" s="208">
        <f t="shared" si="82"/>
        <v>0</v>
      </c>
      <c r="BD127" s="209">
        <f t="shared" si="82"/>
        <v>0</v>
      </c>
      <c r="BE127" s="210">
        <f t="shared" si="83"/>
        <v>0</v>
      </c>
      <c r="BF127" s="211">
        <f t="shared" si="83"/>
        <v>0</v>
      </c>
      <c r="BG127" s="212">
        <f t="shared" si="84"/>
        <v>0</v>
      </c>
      <c r="BH127" s="213">
        <f t="shared" si="84"/>
        <v>0</v>
      </c>
    </row>
    <row r="128" spans="1:60" s="153" customFormat="1" ht="23.4" thickBot="1" x14ac:dyDescent="0.35">
      <c r="A128" s="316" t="s">
        <v>532</v>
      </c>
      <c r="B128" s="317" t="s">
        <v>532</v>
      </c>
      <c r="C128" s="251" t="s">
        <v>2</v>
      </c>
      <c r="D128" s="252" t="s">
        <v>533</v>
      </c>
      <c r="E128" s="318" t="s">
        <v>534</v>
      </c>
      <c r="F128" s="159" t="s">
        <v>5</v>
      </c>
      <c r="G128" s="160" t="s">
        <v>6</v>
      </c>
      <c r="H128" s="161" t="s">
        <v>7</v>
      </c>
      <c r="I128" s="161" t="s">
        <v>8</v>
      </c>
      <c r="J128" s="162" t="s">
        <v>9</v>
      </c>
      <c r="K128" s="163" t="s">
        <v>38</v>
      </c>
      <c r="L128" s="164" t="s">
        <v>38</v>
      </c>
      <c r="M128" s="165" t="s">
        <v>38</v>
      </c>
      <c r="N128" s="166" t="s">
        <v>38</v>
      </c>
      <c r="O128" s="165" t="s">
        <v>39</v>
      </c>
      <c r="P128" s="165" t="s">
        <v>39</v>
      </c>
      <c r="Q128" s="254" t="s">
        <v>39</v>
      </c>
      <c r="R128" s="319" t="s">
        <v>17</v>
      </c>
      <c r="S128" s="169">
        <f t="shared" ref="S128:X128" si="101">SUM(S129:S157)</f>
        <v>2930</v>
      </c>
      <c r="T128" s="170">
        <f t="shared" si="101"/>
        <v>275</v>
      </c>
      <c r="U128" s="171">
        <f t="shared" si="101"/>
        <v>2508</v>
      </c>
      <c r="V128" s="172">
        <f t="shared" si="101"/>
        <v>931</v>
      </c>
      <c r="W128" s="173">
        <f t="shared" si="101"/>
        <v>0</v>
      </c>
      <c r="X128" s="174">
        <f t="shared" si="101"/>
        <v>26</v>
      </c>
      <c r="Y128" s="169">
        <f>SUM(S128:X128)</f>
        <v>6670</v>
      </c>
      <c r="Z128" s="175">
        <f>Y128+SUM(U128:V128)+X128</f>
        <v>10135</v>
      </c>
      <c r="AA128" s="169">
        <f t="shared" ref="AA128:AF128" si="102">SUM(AA129:AA157)</f>
        <v>2715</v>
      </c>
      <c r="AB128" s="170">
        <f t="shared" si="102"/>
        <v>307</v>
      </c>
      <c r="AC128" s="171">
        <f t="shared" si="102"/>
        <v>2919</v>
      </c>
      <c r="AD128" s="320">
        <f t="shared" si="102"/>
        <v>1043</v>
      </c>
      <c r="AE128" s="321">
        <f t="shared" si="102"/>
        <v>0</v>
      </c>
      <c r="AF128" s="174">
        <f t="shared" si="102"/>
        <v>282</v>
      </c>
      <c r="AG128" s="169">
        <f>SUM(AA128:AF128)</f>
        <v>7266</v>
      </c>
      <c r="AH128" s="175">
        <f>AG128+SUM(AC128:AD128)+AF128</f>
        <v>11510</v>
      </c>
      <c r="AI128" s="169">
        <f>Y128+AG128</f>
        <v>13936</v>
      </c>
      <c r="AJ128" s="175">
        <f>Z128+AH128</f>
        <v>21645</v>
      </c>
      <c r="AK128" s="169">
        <f t="shared" ref="AK128:AP128" si="103">SUM(AK129:AK157)</f>
        <v>2</v>
      </c>
      <c r="AL128" s="170">
        <f t="shared" si="103"/>
        <v>0</v>
      </c>
      <c r="AM128" s="171">
        <f t="shared" si="103"/>
        <v>27</v>
      </c>
      <c r="AN128" s="172">
        <f t="shared" si="103"/>
        <v>49</v>
      </c>
      <c r="AO128" s="173">
        <f t="shared" si="103"/>
        <v>0</v>
      </c>
      <c r="AP128" s="174">
        <f t="shared" si="103"/>
        <v>0</v>
      </c>
      <c r="AQ128" s="169">
        <f>SUM(AK128:AP128)</f>
        <v>78</v>
      </c>
      <c r="AR128" s="170">
        <f>AQ128+SUM(AM128:AN128)+AP128</f>
        <v>154</v>
      </c>
      <c r="AS128" s="169">
        <f t="shared" ref="AS128:AX128" si="104">SUM(AS129:AS157)</f>
        <v>2</v>
      </c>
      <c r="AT128" s="170">
        <f t="shared" si="104"/>
        <v>0</v>
      </c>
      <c r="AU128" s="171">
        <f t="shared" si="104"/>
        <v>27</v>
      </c>
      <c r="AV128" s="320">
        <f t="shared" si="104"/>
        <v>49</v>
      </c>
      <c r="AW128" s="321">
        <f t="shared" si="104"/>
        <v>0</v>
      </c>
      <c r="AX128" s="174">
        <f t="shared" si="104"/>
        <v>0</v>
      </c>
      <c r="AY128" s="169">
        <f>SUM(AS128:AX128)</f>
        <v>78</v>
      </c>
      <c r="AZ128" s="170">
        <f>AY128+SUM(AU128:AV128)+AX128</f>
        <v>154</v>
      </c>
      <c r="BA128" s="169">
        <f>AQ128+AY128</f>
        <v>156</v>
      </c>
      <c r="BB128" s="170">
        <f>AR128+AZ128</f>
        <v>308</v>
      </c>
      <c r="BC128" s="169">
        <f>Y128+AQ128</f>
        <v>6748</v>
      </c>
      <c r="BD128" s="170">
        <f>Z128+AR128</f>
        <v>10289</v>
      </c>
      <c r="BE128" s="169">
        <f>AG128+AY128</f>
        <v>7344</v>
      </c>
      <c r="BF128" s="176">
        <f>AH128+AZ128</f>
        <v>11664</v>
      </c>
      <c r="BG128" s="169">
        <f>BC128+BE128</f>
        <v>14092</v>
      </c>
      <c r="BH128" s="170">
        <f>BD128+BF128</f>
        <v>21953</v>
      </c>
    </row>
    <row r="129" spans="1:60" ht="21.6" thickBot="1" x14ac:dyDescent="0.35">
      <c r="A129" s="178" t="s">
        <v>532</v>
      </c>
      <c r="B129" s="179">
        <v>1</v>
      </c>
      <c r="C129" s="322">
        <v>1</v>
      </c>
      <c r="D129" s="215" t="s">
        <v>535</v>
      </c>
      <c r="E129" s="182" t="s">
        <v>536</v>
      </c>
      <c r="F129" s="183" t="s">
        <v>537</v>
      </c>
      <c r="G129" s="216" t="s">
        <v>538</v>
      </c>
      <c r="H129" s="217" t="s">
        <v>539</v>
      </c>
      <c r="I129" s="217" t="s">
        <v>540</v>
      </c>
      <c r="J129" s="218" t="s">
        <v>541</v>
      </c>
      <c r="K129" s="223">
        <f t="shared" si="96"/>
        <v>0.41875000000436557</v>
      </c>
      <c r="L129" s="222">
        <v>0</v>
      </c>
      <c r="M129" s="189">
        <f t="shared" ref="M129:M154" si="105">K129-L129</f>
        <v>0.41875000000436557</v>
      </c>
      <c r="N129" s="189">
        <f t="shared" ref="N129:N154" si="106">J129-G129</f>
        <v>0.47569444444525288</v>
      </c>
      <c r="O129" s="190">
        <f t="shared" ref="O129:O154" si="107">BG129/M129/24</f>
        <v>51.840796019360049</v>
      </c>
      <c r="P129" s="190">
        <f t="shared" ref="P129:P154" si="108">BG129/K129/24</f>
        <v>51.840796019360049</v>
      </c>
      <c r="Q129" s="191">
        <f t="shared" ref="Q129:Q154" si="109">BG129/N129/24</f>
        <v>45.635036496272811</v>
      </c>
      <c r="R129" s="192" t="s">
        <v>50</v>
      </c>
      <c r="S129" s="193">
        <v>139</v>
      </c>
      <c r="T129" s="194">
        <v>0</v>
      </c>
      <c r="U129" s="195">
        <v>134</v>
      </c>
      <c r="V129" s="196">
        <v>0</v>
      </c>
      <c r="W129" s="219">
        <v>0</v>
      </c>
      <c r="X129" s="220">
        <v>0</v>
      </c>
      <c r="Y129" s="199">
        <f>SUM(S129:X129)</f>
        <v>273</v>
      </c>
      <c r="Z129" s="200">
        <f>Y129+SUM(U129:V129)+X129</f>
        <v>407</v>
      </c>
      <c r="AA129" s="193">
        <v>136</v>
      </c>
      <c r="AB129" s="194">
        <v>0</v>
      </c>
      <c r="AC129" s="195">
        <v>107</v>
      </c>
      <c r="AD129" s="201">
        <v>5</v>
      </c>
      <c r="AE129" s="221">
        <v>0</v>
      </c>
      <c r="AF129" s="220">
        <v>0</v>
      </c>
      <c r="AG129" s="199">
        <f>SUM(AA129:AF129)</f>
        <v>248</v>
      </c>
      <c r="AH129" s="200">
        <f>AG129+SUM(AC129:AD129)+AF129</f>
        <v>360</v>
      </c>
      <c r="AI129" s="203">
        <f>Y129+AG129</f>
        <v>521</v>
      </c>
      <c r="AJ129" s="204">
        <f>Z129+AH129</f>
        <v>767</v>
      </c>
      <c r="AK129" s="193">
        <v>0</v>
      </c>
      <c r="AL129" s="194">
        <v>0</v>
      </c>
      <c r="AM129" s="195">
        <v>0</v>
      </c>
      <c r="AN129" s="196">
        <v>0</v>
      </c>
      <c r="AO129" s="219">
        <v>0</v>
      </c>
      <c r="AP129" s="220">
        <v>0</v>
      </c>
      <c r="AQ129" s="205">
        <f>SUM(AK129:AP129)</f>
        <v>0</v>
      </c>
      <c r="AR129" s="206">
        <f>AQ129+SUM(AM129:AN129)+AP129</f>
        <v>0</v>
      </c>
      <c r="AS129" s="193">
        <v>0</v>
      </c>
      <c r="AT129" s="194">
        <v>0</v>
      </c>
      <c r="AU129" s="195">
        <v>0</v>
      </c>
      <c r="AV129" s="196">
        <v>0</v>
      </c>
      <c r="AW129" s="219">
        <v>0</v>
      </c>
      <c r="AX129" s="220">
        <v>0</v>
      </c>
      <c r="AY129" s="205">
        <f>SUM(AS129:AX129)</f>
        <v>0</v>
      </c>
      <c r="AZ129" s="206">
        <f>AY129+SUM(AU129:AV129)+AX129</f>
        <v>0</v>
      </c>
      <c r="BA129" s="207">
        <f>AQ129+AY129</f>
        <v>0</v>
      </c>
      <c r="BB129" s="204">
        <f>AR129+AZ129</f>
        <v>0</v>
      </c>
      <c r="BC129" s="208">
        <f>Y129+AQ129</f>
        <v>273</v>
      </c>
      <c r="BD129" s="209">
        <f>Z129+AR129</f>
        <v>407</v>
      </c>
      <c r="BE129" s="210">
        <f>AG129+AY129</f>
        <v>248</v>
      </c>
      <c r="BF129" s="211">
        <f>AH129+AZ129</f>
        <v>360</v>
      </c>
      <c r="BG129" s="212">
        <f>BC129+BE129</f>
        <v>521</v>
      </c>
      <c r="BH129" s="213">
        <f>BD129+BF129</f>
        <v>767</v>
      </c>
    </row>
    <row r="130" spans="1:60" ht="21" x14ac:dyDescent="0.3">
      <c r="A130" s="214" t="s">
        <v>532</v>
      </c>
      <c r="B130" s="323">
        <v>1</v>
      </c>
      <c r="C130" s="322">
        <v>2</v>
      </c>
      <c r="D130" s="215" t="s">
        <v>65</v>
      </c>
      <c r="E130" s="182" t="s">
        <v>542</v>
      </c>
      <c r="F130" s="183" t="s">
        <v>543</v>
      </c>
      <c r="G130" s="216" t="s">
        <v>544</v>
      </c>
      <c r="H130" s="217" t="s">
        <v>545</v>
      </c>
      <c r="I130" s="217" t="s">
        <v>546</v>
      </c>
      <c r="J130" s="218" t="s">
        <v>547</v>
      </c>
      <c r="K130" s="223">
        <f t="shared" si="96"/>
        <v>2.429861111115315</v>
      </c>
      <c r="L130" s="222">
        <v>1.8402777777737356</v>
      </c>
      <c r="M130" s="189">
        <f t="shared" si="105"/>
        <v>0.58958333334157942</v>
      </c>
      <c r="N130" s="189">
        <f t="shared" si="106"/>
        <v>2.4513888888905058</v>
      </c>
      <c r="O130" s="190">
        <f t="shared" si="107"/>
        <v>41.201413426985582</v>
      </c>
      <c r="P130" s="190">
        <f t="shared" si="108"/>
        <v>9.9971420405657287</v>
      </c>
      <c r="Q130" s="191">
        <f t="shared" si="109"/>
        <v>9.9093484419198088</v>
      </c>
      <c r="R130" s="192" t="s">
        <v>71</v>
      </c>
      <c r="S130" s="193">
        <v>131</v>
      </c>
      <c r="T130" s="194">
        <v>1</v>
      </c>
      <c r="U130" s="195">
        <v>129</v>
      </c>
      <c r="V130" s="196">
        <v>44</v>
      </c>
      <c r="W130" s="219">
        <v>0</v>
      </c>
      <c r="X130" s="220">
        <v>1</v>
      </c>
      <c r="Y130" s="199">
        <f t="shared" ref="Y130:Y138" si="110">SUM(S130:X130)</f>
        <v>306</v>
      </c>
      <c r="Z130" s="200">
        <f t="shared" ref="Z130:Z176" si="111">Y130+SUM(U130:V130)+X130</f>
        <v>480</v>
      </c>
      <c r="AA130" s="193">
        <v>77</v>
      </c>
      <c r="AB130" s="194">
        <v>11</v>
      </c>
      <c r="AC130" s="195">
        <v>121</v>
      </c>
      <c r="AD130" s="201">
        <v>64</v>
      </c>
      <c r="AE130" s="221">
        <v>0</v>
      </c>
      <c r="AF130" s="220">
        <v>4</v>
      </c>
      <c r="AG130" s="199">
        <f t="shared" ref="AG130:AG176" si="112">SUM(AA130:AF130)</f>
        <v>277</v>
      </c>
      <c r="AH130" s="200">
        <f t="shared" ref="AH130:AH176" si="113">AG130+SUM(AC130:AD130)+AF130</f>
        <v>466</v>
      </c>
      <c r="AI130" s="203">
        <f t="shared" ref="AI130:AJ145" si="114">Y130+AG130</f>
        <v>583</v>
      </c>
      <c r="AJ130" s="204">
        <f t="shared" si="114"/>
        <v>946</v>
      </c>
      <c r="AK130" s="193">
        <v>0</v>
      </c>
      <c r="AL130" s="194">
        <v>0</v>
      </c>
      <c r="AM130" s="195">
        <v>0</v>
      </c>
      <c r="AN130" s="196">
        <v>0</v>
      </c>
      <c r="AO130" s="219">
        <v>0</v>
      </c>
      <c r="AP130" s="220">
        <v>0</v>
      </c>
      <c r="AQ130" s="205">
        <f t="shared" ref="AQ130:AQ176" si="115">SUM(AK130:AP130)</f>
        <v>0</v>
      </c>
      <c r="AR130" s="206">
        <f t="shared" ref="AR130:AR176" si="116">AQ130+SUM(AM130:AN130)+AP130</f>
        <v>0</v>
      </c>
      <c r="AS130" s="193">
        <v>0</v>
      </c>
      <c r="AT130" s="194">
        <v>0</v>
      </c>
      <c r="AU130" s="195">
        <v>0</v>
      </c>
      <c r="AV130" s="196">
        <v>0</v>
      </c>
      <c r="AW130" s="219">
        <v>0</v>
      </c>
      <c r="AX130" s="220">
        <v>0</v>
      </c>
      <c r="AY130" s="205">
        <f t="shared" ref="AY130:AY176" si="117">SUM(AS130:AX130)</f>
        <v>0</v>
      </c>
      <c r="AZ130" s="206">
        <f t="shared" ref="AZ130:AZ176" si="118">AY130+SUM(AU130:AV130)+AX130</f>
        <v>0</v>
      </c>
      <c r="BA130" s="207">
        <f t="shared" ref="BA130:BB145" si="119">AQ130+AY130</f>
        <v>0</v>
      </c>
      <c r="BB130" s="204">
        <f t="shared" si="119"/>
        <v>0</v>
      </c>
      <c r="BC130" s="208">
        <f t="shared" ref="BC130:BD145" si="120">Y130+AQ130</f>
        <v>306</v>
      </c>
      <c r="BD130" s="209">
        <f t="shared" si="120"/>
        <v>480</v>
      </c>
      <c r="BE130" s="210">
        <f t="shared" ref="BE130:BF145" si="121">AG130+AY130</f>
        <v>277</v>
      </c>
      <c r="BF130" s="211">
        <f t="shared" si="121"/>
        <v>466</v>
      </c>
      <c r="BG130" s="212">
        <f t="shared" ref="BG130:BH145" si="122">BC130+BE130</f>
        <v>583</v>
      </c>
      <c r="BH130" s="213">
        <f t="shared" si="122"/>
        <v>946</v>
      </c>
    </row>
    <row r="131" spans="1:60" ht="21" x14ac:dyDescent="0.3">
      <c r="A131" s="214" t="s">
        <v>532</v>
      </c>
      <c r="B131" s="306">
        <v>1</v>
      </c>
      <c r="C131" s="322">
        <v>3</v>
      </c>
      <c r="D131" s="215" t="s">
        <v>72</v>
      </c>
      <c r="E131" s="182" t="s">
        <v>548</v>
      </c>
      <c r="F131" s="183" t="s">
        <v>387</v>
      </c>
      <c r="G131" s="216" t="s">
        <v>549</v>
      </c>
      <c r="H131" s="217" t="s">
        <v>550</v>
      </c>
      <c r="I131" s="217" t="s">
        <v>551</v>
      </c>
      <c r="J131" s="218" t="s">
        <v>552</v>
      </c>
      <c r="K131" s="223">
        <f t="shared" si="96"/>
        <v>0.66875000000436557</v>
      </c>
      <c r="L131" s="222">
        <v>0</v>
      </c>
      <c r="M131" s="189">
        <f t="shared" si="105"/>
        <v>0.66875000000436557</v>
      </c>
      <c r="N131" s="189">
        <f t="shared" si="106"/>
        <v>0.88194444444525288</v>
      </c>
      <c r="O131" s="190">
        <f t="shared" si="107"/>
        <v>52.647975077537943</v>
      </c>
      <c r="P131" s="190">
        <f t="shared" si="108"/>
        <v>52.647975077537943</v>
      </c>
      <c r="Q131" s="191">
        <f t="shared" si="109"/>
        <v>39.921259842483089</v>
      </c>
      <c r="R131" s="192" t="s">
        <v>57</v>
      </c>
      <c r="S131" s="193">
        <v>170</v>
      </c>
      <c r="T131" s="194">
        <v>0</v>
      </c>
      <c r="U131" s="195">
        <v>116</v>
      </c>
      <c r="V131" s="196">
        <v>30</v>
      </c>
      <c r="W131" s="219">
        <v>0</v>
      </c>
      <c r="X131" s="220">
        <v>0</v>
      </c>
      <c r="Y131" s="199">
        <f t="shared" si="110"/>
        <v>316</v>
      </c>
      <c r="Z131" s="200">
        <f t="shared" si="111"/>
        <v>462</v>
      </c>
      <c r="AA131" s="193">
        <v>166</v>
      </c>
      <c r="AB131" s="194">
        <v>30</v>
      </c>
      <c r="AC131" s="195">
        <v>103</v>
      </c>
      <c r="AD131" s="201">
        <v>210</v>
      </c>
      <c r="AE131" s="221">
        <v>0</v>
      </c>
      <c r="AF131" s="220">
        <v>20</v>
      </c>
      <c r="AG131" s="199">
        <f t="shared" si="112"/>
        <v>529</v>
      </c>
      <c r="AH131" s="200">
        <f t="shared" si="113"/>
        <v>862</v>
      </c>
      <c r="AI131" s="203">
        <f t="shared" si="114"/>
        <v>845</v>
      </c>
      <c r="AJ131" s="204">
        <f t="shared" si="114"/>
        <v>1324</v>
      </c>
      <c r="AK131" s="193">
        <v>0</v>
      </c>
      <c r="AL131" s="194">
        <v>0</v>
      </c>
      <c r="AM131" s="195">
        <v>0</v>
      </c>
      <c r="AN131" s="196">
        <v>0</v>
      </c>
      <c r="AO131" s="219">
        <v>0</v>
      </c>
      <c r="AP131" s="220">
        <v>0</v>
      </c>
      <c r="AQ131" s="205">
        <f t="shared" si="115"/>
        <v>0</v>
      </c>
      <c r="AR131" s="206">
        <f t="shared" si="116"/>
        <v>0</v>
      </c>
      <c r="AS131" s="193">
        <v>0</v>
      </c>
      <c r="AT131" s="194">
        <v>0</v>
      </c>
      <c r="AU131" s="195">
        <v>0</v>
      </c>
      <c r="AV131" s="196">
        <v>0</v>
      </c>
      <c r="AW131" s="219">
        <v>0</v>
      </c>
      <c r="AX131" s="220">
        <v>0</v>
      </c>
      <c r="AY131" s="205">
        <f t="shared" si="117"/>
        <v>0</v>
      </c>
      <c r="AZ131" s="206">
        <f t="shared" si="118"/>
        <v>0</v>
      </c>
      <c r="BA131" s="207">
        <f t="shared" si="119"/>
        <v>0</v>
      </c>
      <c r="BB131" s="204">
        <f t="shared" si="119"/>
        <v>0</v>
      </c>
      <c r="BC131" s="208">
        <f t="shared" si="120"/>
        <v>316</v>
      </c>
      <c r="BD131" s="209">
        <f t="shared" si="120"/>
        <v>462</v>
      </c>
      <c r="BE131" s="210">
        <f t="shared" si="121"/>
        <v>529</v>
      </c>
      <c r="BF131" s="211">
        <f t="shared" si="121"/>
        <v>862</v>
      </c>
      <c r="BG131" s="212">
        <f t="shared" si="122"/>
        <v>845</v>
      </c>
      <c r="BH131" s="213">
        <f t="shared" si="122"/>
        <v>1324</v>
      </c>
    </row>
    <row r="132" spans="1:60" ht="21" x14ac:dyDescent="0.3">
      <c r="A132" s="214" t="s">
        <v>532</v>
      </c>
      <c r="B132" s="306">
        <v>2</v>
      </c>
      <c r="C132" s="322">
        <v>4</v>
      </c>
      <c r="D132" s="215" t="s">
        <v>51</v>
      </c>
      <c r="E132" s="182" t="s">
        <v>553</v>
      </c>
      <c r="F132" s="183" t="s">
        <v>543</v>
      </c>
      <c r="G132" s="216" t="s">
        <v>554</v>
      </c>
      <c r="H132" s="217" t="s">
        <v>555</v>
      </c>
      <c r="I132" s="217" t="s">
        <v>556</v>
      </c>
      <c r="J132" s="218" t="s">
        <v>557</v>
      </c>
      <c r="K132" s="223">
        <f t="shared" si="96"/>
        <v>0.64236111110949423</v>
      </c>
      <c r="L132" s="222">
        <v>0</v>
      </c>
      <c r="M132" s="189">
        <f t="shared" si="105"/>
        <v>0.64236111110949423</v>
      </c>
      <c r="N132" s="189">
        <f t="shared" si="106"/>
        <v>0.70833333333575865</v>
      </c>
      <c r="O132" s="190">
        <f t="shared" si="107"/>
        <v>50.918918919047087</v>
      </c>
      <c r="P132" s="190">
        <f t="shared" si="108"/>
        <v>50.918918919047087</v>
      </c>
      <c r="Q132" s="191">
        <f t="shared" si="109"/>
        <v>46.176470588077187</v>
      </c>
      <c r="R132" s="192" t="s">
        <v>57</v>
      </c>
      <c r="S132" s="193">
        <v>127</v>
      </c>
      <c r="T132" s="194">
        <v>130</v>
      </c>
      <c r="U132" s="195">
        <v>73</v>
      </c>
      <c r="V132" s="196">
        <v>83</v>
      </c>
      <c r="W132" s="219">
        <v>0</v>
      </c>
      <c r="X132" s="220">
        <v>2</v>
      </c>
      <c r="Y132" s="199">
        <f t="shared" si="110"/>
        <v>415</v>
      </c>
      <c r="Z132" s="200">
        <f t="shared" si="111"/>
        <v>573</v>
      </c>
      <c r="AA132" s="193">
        <v>148</v>
      </c>
      <c r="AB132" s="194">
        <v>40</v>
      </c>
      <c r="AC132" s="195">
        <v>89</v>
      </c>
      <c r="AD132" s="201">
        <v>70</v>
      </c>
      <c r="AE132" s="221">
        <v>0</v>
      </c>
      <c r="AF132" s="220">
        <v>23</v>
      </c>
      <c r="AG132" s="199">
        <f t="shared" si="112"/>
        <v>370</v>
      </c>
      <c r="AH132" s="200">
        <f t="shared" si="113"/>
        <v>552</v>
      </c>
      <c r="AI132" s="203">
        <f t="shared" si="114"/>
        <v>785</v>
      </c>
      <c r="AJ132" s="204">
        <f t="shared" si="114"/>
        <v>1125</v>
      </c>
      <c r="AK132" s="193">
        <v>0</v>
      </c>
      <c r="AL132" s="194">
        <v>0</v>
      </c>
      <c r="AM132" s="195">
        <v>0</v>
      </c>
      <c r="AN132" s="196">
        <v>0</v>
      </c>
      <c r="AO132" s="219">
        <v>0</v>
      </c>
      <c r="AP132" s="220">
        <v>0</v>
      </c>
      <c r="AQ132" s="205">
        <f t="shared" si="115"/>
        <v>0</v>
      </c>
      <c r="AR132" s="206">
        <f t="shared" si="116"/>
        <v>0</v>
      </c>
      <c r="AS132" s="193">
        <v>0</v>
      </c>
      <c r="AT132" s="194">
        <v>0</v>
      </c>
      <c r="AU132" s="195">
        <v>0</v>
      </c>
      <c r="AV132" s="196">
        <v>0</v>
      </c>
      <c r="AW132" s="219">
        <v>0</v>
      </c>
      <c r="AX132" s="220">
        <v>0</v>
      </c>
      <c r="AY132" s="205">
        <f t="shared" si="117"/>
        <v>0</v>
      </c>
      <c r="AZ132" s="206">
        <f t="shared" si="118"/>
        <v>0</v>
      </c>
      <c r="BA132" s="207">
        <f t="shared" si="119"/>
        <v>0</v>
      </c>
      <c r="BB132" s="204">
        <f t="shared" si="119"/>
        <v>0</v>
      </c>
      <c r="BC132" s="208">
        <f t="shared" si="120"/>
        <v>415</v>
      </c>
      <c r="BD132" s="209">
        <f t="shared" si="120"/>
        <v>573</v>
      </c>
      <c r="BE132" s="210">
        <f t="shared" si="121"/>
        <v>370</v>
      </c>
      <c r="BF132" s="211">
        <f t="shared" si="121"/>
        <v>552</v>
      </c>
      <c r="BG132" s="212">
        <f t="shared" si="122"/>
        <v>785</v>
      </c>
      <c r="BH132" s="213">
        <f t="shared" si="122"/>
        <v>1125</v>
      </c>
    </row>
    <row r="133" spans="1:60" ht="21" x14ac:dyDescent="0.3">
      <c r="A133" s="214" t="s">
        <v>532</v>
      </c>
      <c r="B133" s="306">
        <v>3</v>
      </c>
      <c r="C133" s="322">
        <v>5</v>
      </c>
      <c r="D133" s="215" t="s">
        <v>58</v>
      </c>
      <c r="E133" s="182" t="s">
        <v>558</v>
      </c>
      <c r="F133" s="183" t="s">
        <v>543</v>
      </c>
      <c r="G133" s="216" t="s">
        <v>559</v>
      </c>
      <c r="H133" s="217" t="s">
        <v>560</v>
      </c>
      <c r="I133" s="217" t="s">
        <v>561</v>
      </c>
      <c r="J133" s="218" t="s">
        <v>562</v>
      </c>
      <c r="K133" s="223">
        <f t="shared" si="96"/>
        <v>2.1270833333328483</v>
      </c>
      <c r="L133" s="222">
        <v>1.3888888888905058</v>
      </c>
      <c r="M133" s="189">
        <f t="shared" si="105"/>
        <v>0.7381944444423425</v>
      </c>
      <c r="N133" s="189">
        <f t="shared" si="106"/>
        <v>2.7708333333357587</v>
      </c>
      <c r="O133" s="190">
        <f t="shared" si="107"/>
        <v>19.586077140225104</v>
      </c>
      <c r="P133" s="190">
        <f t="shared" si="108"/>
        <v>6.7972575905990036</v>
      </c>
      <c r="Q133" s="191">
        <f t="shared" si="109"/>
        <v>5.2180451127773875</v>
      </c>
      <c r="R133" s="192">
        <v>0</v>
      </c>
      <c r="S133" s="193">
        <v>37</v>
      </c>
      <c r="T133" s="194">
        <v>8</v>
      </c>
      <c r="U133" s="195">
        <v>9</v>
      </c>
      <c r="V133" s="196">
        <v>78</v>
      </c>
      <c r="W133" s="219">
        <v>0</v>
      </c>
      <c r="X133" s="220">
        <v>0</v>
      </c>
      <c r="Y133" s="199">
        <f t="shared" si="110"/>
        <v>132</v>
      </c>
      <c r="Z133" s="200">
        <f t="shared" si="111"/>
        <v>219</v>
      </c>
      <c r="AA133" s="193">
        <v>56</v>
      </c>
      <c r="AB133" s="194">
        <v>0</v>
      </c>
      <c r="AC133" s="195">
        <v>109</v>
      </c>
      <c r="AD133" s="201">
        <v>50</v>
      </c>
      <c r="AE133" s="221">
        <v>0</v>
      </c>
      <c r="AF133" s="220">
        <v>0</v>
      </c>
      <c r="AG133" s="199">
        <f t="shared" si="112"/>
        <v>215</v>
      </c>
      <c r="AH133" s="200">
        <f t="shared" si="113"/>
        <v>374</v>
      </c>
      <c r="AI133" s="203">
        <f t="shared" si="114"/>
        <v>347</v>
      </c>
      <c r="AJ133" s="204">
        <f t="shared" si="114"/>
        <v>593</v>
      </c>
      <c r="AK133" s="193">
        <v>0</v>
      </c>
      <c r="AL133" s="194">
        <v>0</v>
      </c>
      <c r="AM133" s="195">
        <v>0</v>
      </c>
      <c r="AN133" s="196">
        <v>0</v>
      </c>
      <c r="AO133" s="219">
        <v>0</v>
      </c>
      <c r="AP133" s="220">
        <v>0</v>
      </c>
      <c r="AQ133" s="205">
        <f t="shared" si="115"/>
        <v>0</v>
      </c>
      <c r="AR133" s="206">
        <f t="shared" si="116"/>
        <v>0</v>
      </c>
      <c r="AS133" s="193">
        <v>0</v>
      </c>
      <c r="AT133" s="194">
        <v>0</v>
      </c>
      <c r="AU133" s="195">
        <v>0</v>
      </c>
      <c r="AV133" s="196">
        <v>0</v>
      </c>
      <c r="AW133" s="219">
        <v>0</v>
      </c>
      <c r="AX133" s="220">
        <v>0</v>
      </c>
      <c r="AY133" s="205">
        <f t="shared" si="117"/>
        <v>0</v>
      </c>
      <c r="AZ133" s="206">
        <f t="shared" si="118"/>
        <v>0</v>
      </c>
      <c r="BA133" s="207">
        <f t="shared" si="119"/>
        <v>0</v>
      </c>
      <c r="BB133" s="204">
        <f t="shared" si="119"/>
        <v>0</v>
      </c>
      <c r="BC133" s="208">
        <f t="shared" si="120"/>
        <v>132</v>
      </c>
      <c r="BD133" s="209">
        <f t="shared" si="120"/>
        <v>219</v>
      </c>
      <c r="BE133" s="210">
        <f t="shared" si="121"/>
        <v>215</v>
      </c>
      <c r="BF133" s="211">
        <f t="shared" si="121"/>
        <v>374</v>
      </c>
      <c r="BG133" s="212">
        <f t="shared" si="122"/>
        <v>347</v>
      </c>
      <c r="BH133" s="213">
        <f t="shared" si="122"/>
        <v>593</v>
      </c>
    </row>
    <row r="134" spans="1:60" ht="21" x14ac:dyDescent="0.3">
      <c r="A134" s="214" t="s">
        <v>532</v>
      </c>
      <c r="B134" s="306">
        <v>2</v>
      </c>
      <c r="C134" s="322">
        <v>6</v>
      </c>
      <c r="D134" s="215" t="s">
        <v>79</v>
      </c>
      <c r="E134" s="182" t="s">
        <v>563</v>
      </c>
      <c r="F134" s="183" t="s">
        <v>543</v>
      </c>
      <c r="G134" s="216" t="s">
        <v>564</v>
      </c>
      <c r="H134" s="217" t="s">
        <v>565</v>
      </c>
      <c r="I134" s="217" t="s">
        <v>566</v>
      </c>
      <c r="J134" s="218" t="s">
        <v>567</v>
      </c>
      <c r="K134" s="223">
        <f t="shared" si="96"/>
        <v>0.42847222222189885</v>
      </c>
      <c r="L134" s="222">
        <v>0</v>
      </c>
      <c r="M134" s="189">
        <f t="shared" si="105"/>
        <v>0.42847222222189885</v>
      </c>
      <c r="N134" s="189">
        <f t="shared" si="106"/>
        <v>0.50347222221898846</v>
      </c>
      <c r="O134" s="190">
        <f t="shared" si="107"/>
        <v>53.192868719651166</v>
      </c>
      <c r="P134" s="190">
        <f t="shared" si="108"/>
        <v>53.192868719651166</v>
      </c>
      <c r="Q134" s="191">
        <f t="shared" si="109"/>
        <v>45.268965517532138</v>
      </c>
      <c r="R134" s="192" t="s">
        <v>71</v>
      </c>
      <c r="S134" s="193">
        <v>143</v>
      </c>
      <c r="T134" s="194">
        <v>2</v>
      </c>
      <c r="U134" s="195">
        <v>90</v>
      </c>
      <c r="V134" s="196">
        <v>20</v>
      </c>
      <c r="W134" s="219">
        <v>0</v>
      </c>
      <c r="X134" s="220">
        <v>2</v>
      </c>
      <c r="Y134" s="199">
        <f t="shared" si="110"/>
        <v>257</v>
      </c>
      <c r="Z134" s="200">
        <f t="shared" si="111"/>
        <v>369</v>
      </c>
      <c r="AA134" s="193">
        <v>94</v>
      </c>
      <c r="AB134" s="194">
        <v>13</v>
      </c>
      <c r="AC134" s="195">
        <v>139</v>
      </c>
      <c r="AD134" s="201">
        <v>39</v>
      </c>
      <c r="AE134" s="221">
        <v>0</v>
      </c>
      <c r="AF134" s="220">
        <v>5</v>
      </c>
      <c r="AG134" s="199">
        <f t="shared" si="112"/>
        <v>290</v>
      </c>
      <c r="AH134" s="200">
        <f t="shared" si="113"/>
        <v>473</v>
      </c>
      <c r="AI134" s="203">
        <f t="shared" si="114"/>
        <v>547</v>
      </c>
      <c r="AJ134" s="204">
        <f t="shared" si="114"/>
        <v>842</v>
      </c>
      <c r="AK134" s="193">
        <v>0</v>
      </c>
      <c r="AL134" s="194">
        <v>0</v>
      </c>
      <c r="AM134" s="195">
        <v>0</v>
      </c>
      <c r="AN134" s="196">
        <v>0</v>
      </c>
      <c r="AO134" s="219">
        <v>0</v>
      </c>
      <c r="AP134" s="220">
        <v>0</v>
      </c>
      <c r="AQ134" s="205">
        <f t="shared" si="115"/>
        <v>0</v>
      </c>
      <c r="AR134" s="206">
        <f t="shared" si="116"/>
        <v>0</v>
      </c>
      <c r="AS134" s="193">
        <v>0</v>
      </c>
      <c r="AT134" s="194">
        <v>0</v>
      </c>
      <c r="AU134" s="195">
        <v>0</v>
      </c>
      <c r="AV134" s="196">
        <v>0</v>
      </c>
      <c r="AW134" s="219">
        <v>0</v>
      </c>
      <c r="AX134" s="220">
        <v>0</v>
      </c>
      <c r="AY134" s="205">
        <f t="shared" si="117"/>
        <v>0</v>
      </c>
      <c r="AZ134" s="206">
        <f t="shared" si="118"/>
        <v>0</v>
      </c>
      <c r="BA134" s="207">
        <f t="shared" si="119"/>
        <v>0</v>
      </c>
      <c r="BB134" s="204">
        <f t="shared" si="119"/>
        <v>0</v>
      </c>
      <c r="BC134" s="208">
        <f t="shared" si="120"/>
        <v>257</v>
      </c>
      <c r="BD134" s="209">
        <f t="shared" si="120"/>
        <v>369</v>
      </c>
      <c r="BE134" s="210">
        <f t="shared" si="121"/>
        <v>290</v>
      </c>
      <c r="BF134" s="211">
        <f t="shared" si="121"/>
        <v>473</v>
      </c>
      <c r="BG134" s="212">
        <f t="shared" si="122"/>
        <v>547</v>
      </c>
      <c r="BH134" s="213">
        <f t="shared" si="122"/>
        <v>842</v>
      </c>
    </row>
    <row r="135" spans="1:60" ht="21" x14ac:dyDescent="0.3">
      <c r="A135" s="214" t="s">
        <v>532</v>
      </c>
      <c r="B135" s="306">
        <v>2</v>
      </c>
      <c r="C135" s="322">
        <v>7</v>
      </c>
      <c r="D135" s="215" t="s">
        <v>43</v>
      </c>
      <c r="E135" s="182" t="s">
        <v>568</v>
      </c>
      <c r="F135" s="183" t="s">
        <v>569</v>
      </c>
      <c r="G135" s="216" t="s">
        <v>570</v>
      </c>
      <c r="H135" s="217" t="s">
        <v>571</v>
      </c>
      <c r="I135" s="217" t="s">
        <v>572</v>
      </c>
      <c r="J135" s="218" t="s">
        <v>573</v>
      </c>
      <c r="K135" s="223">
        <f t="shared" si="96"/>
        <v>0.70138888888322981</v>
      </c>
      <c r="L135" s="222">
        <v>0.13888888889050577</v>
      </c>
      <c r="M135" s="189">
        <f t="shared" si="105"/>
        <v>0.56249999999272404</v>
      </c>
      <c r="N135" s="189">
        <f t="shared" si="106"/>
        <v>0.74652777777373558</v>
      </c>
      <c r="O135" s="190">
        <f t="shared" si="107"/>
        <v>38.740740741241858</v>
      </c>
      <c r="P135" s="190">
        <f t="shared" si="108"/>
        <v>31.06930693094375</v>
      </c>
      <c r="Q135" s="191">
        <f t="shared" si="109"/>
        <v>29.190697674576665</v>
      </c>
      <c r="R135" s="192">
        <v>0</v>
      </c>
      <c r="S135" s="193">
        <v>123</v>
      </c>
      <c r="T135" s="194">
        <v>4</v>
      </c>
      <c r="U135" s="195">
        <v>79</v>
      </c>
      <c r="V135" s="196">
        <v>40</v>
      </c>
      <c r="W135" s="219">
        <v>0</v>
      </c>
      <c r="X135" s="220">
        <v>0</v>
      </c>
      <c r="Y135" s="199">
        <f t="shared" si="110"/>
        <v>246</v>
      </c>
      <c r="Z135" s="200">
        <f t="shared" si="111"/>
        <v>365</v>
      </c>
      <c r="AA135" s="193">
        <v>140</v>
      </c>
      <c r="AB135" s="194">
        <v>8</v>
      </c>
      <c r="AC135" s="195">
        <v>129</v>
      </c>
      <c r="AD135" s="201">
        <v>0</v>
      </c>
      <c r="AE135" s="221">
        <v>0</v>
      </c>
      <c r="AF135" s="220">
        <v>0</v>
      </c>
      <c r="AG135" s="199">
        <f t="shared" si="112"/>
        <v>277</v>
      </c>
      <c r="AH135" s="200">
        <f t="shared" si="113"/>
        <v>406</v>
      </c>
      <c r="AI135" s="203">
        <f t="shared" si="114"/>
        <v>523</v>
      </c>
      <c r="AJ135" s="204">
        <f t="shared" si="114"/>
        <v>771</v>
      </c>
      <c r="AK135" s="193">
        <v>0</v>
      </c>
      <c r="AL135" s="194">
        <v>0</v>
      </c>
      <c r="AM135" s="195">
        <v>0</v>
      </c>
      <c r="AN135" s="196">
        <v>0</v>
      </c>
      <c r="AO135" s="219">
        <v>0</v>
      </c>
      <c r="AP135" s="220">
        <v>0</v>
      </c>
      <c r="AQ135" s="205">
        <f t="shared" si="115"/>
        <v>0</v>
      </c>
      <c r="AR135" s="206">
        <f t="shared" si="116"/>
        <v>0</v>
      </c>
      <c r="AS135" s="193">
        <v>0</v>
      </c>
      <c r="AT135" s="194">
        <v>0</v>
      </c>
      <c r="AU135" s="195">
        <v>0</v>
      </c>
      <c r="AV135" s="196">
        <v>0</v>
      </c>
      <c r="AW135" s="219">
        <v>0</v>
      </c>
      <c r="AX135" s="220">
        <v>0</v>
      </c>
      <c r="AY135" s="205">
        <f t="shared" si="117"/>
        <v>0</v>
      </c>
      <c r="AZ135" s="206">
        <f t="shared" si="118"/>
        <v>0</v>
      </c>
      <c r="BA135" s="207">
        <f t="shared" si="119"/>
        <v>0</v>
      </c>
      <c r="BB135" s="204">
        <f t="shared" si="119"/>
        <v>0</v>
      </c>
      <c r="BC135" s="208">
        <f t="shared" si="120"/>
        <v>246</v>
      </c>
      <c r="BD135" s="209">
        <f t="shared" si="120"/>
        <v>365</v>
      </c>
      <c r="BE135" s="210">
        <f t="shared" si="121"/>
        <v>277</v>
      </c>
      <c r="BF135" s="211">
        <f t="shared" si="121"/>
        <v>406</v>
      </c>
      <c r="BG135" s="212">
        <f t="shared" si="122"/>
        <v>523</v>
      </c>
      <c r="BH135" s="213">
        <f t="shared" si="122"/>
        <v>771</v>
      </c>
    </row>
    <row r="136" spans="1:60" ht="21" x14ac:dyDescent="0.3">
      <c r="A136" s="214" t="s">
        <v>532</v>
      </c>
      <c r="B136" s="306">
        <v>4</v>
      </c>
      <c r="C136" s="322">
        <v>8</v>
      </c>
      <c r="D136" s="215" t="s">
        <v>231</v>
      </c>
      <c r="E136" s="182" t="s">
        <v>574</v>
      </c>
      <c r="F136" s="183" t="s">
        <v>445</v>
      </c>
      <c r="G136" s="216" t="s">
        <v>575</v>
      </c>
      <c r="H136" s="217" t="s">
        <v>576</v>
      </c>
      <c r="I136" s="217" t="s">
        <v>577</v>
      </c>
      <c r="J136" s="218" t="s">
        <v>578</v>
      </c>
      <c r="K136" s="223">
        <f t="shared" si="96"/>
        <v>0.48611111112404615</v>
      </c>
      <c r="L136" s="222">
        <v>0</v>
      </c>
      <c r="M136" s="189">
        <f t="shared" si="105"/>
        <v>0.48611111112404615</v>
      </c>
      <c r="N136" s="189">
        <f t="shared" si="106"/>
        <v>0.53125</v>
      </c>
      <c r="O136" s="190">
        <f t="shared" si="107"/>
        <v>49.028571427266819</v>
      </c>
      <c r="P136" s="190">
        <f t="shared" si="108"/>
        <v>49.028571427266819</v>
      </c>
      <c r="Q136" s="191">
        <f t="shared" si="109"/>
        <v>44.86274509803922</v>
      </c>
      <c r="R136" s="192" t="s">
        <v>57</v>
      </c>
      <c r="S136" s="193">
        <v>120</v>
      </c>
      <c r="T136" s="194">
        <v>0</v>
      </c>
      <c r="U136" s="195">
        <v>63</v>
      </c>
      <c r="V136" s="196">
        <v>75</v>
      </c>
      <c r="W136" s="219">
        <v>0</v>
      </c>
      <c r="X136" s="220">
        <v>1</v>
      </c>
      <c r="Y136" s="199">
        <f t="shared" si="110"/>
        <v>259</v>
      </c>
      <c r="Z136" s="200">
        <f t="shared" si="111"/>
        <v>398</v>
      </c>
      <c r="AA136" s="193">
        <v>132</v>
      </c>
      <c r="AB136" s="194">
        <v>50</v>
      </c>
      <c r="AC136" s="195">
        <v>110</v>
      </c>
      <c r="AD136" s="201">
        <v>0</v>
      </c>
      <c r="AE136" s="221">
        <v>0</v>
      </c>
      <c r="AF136" s="220">
        <v>21</v>
      </c>
      <c r="AG136" s="199">
        <f t="shared" si="112"/>
        <v>313</v>
      </c>
      <c r="AH136" s="200">
        <f t="shared" si="113"/>
        <v>444</v>
      </c>
      <c r="AI136" s="203">
        <f t="shared" si="114"/>
        <v>572</v>
      </c>
      <c r="AJ136" s="204">
        <f t="shared" si="114"/>
        <v>842</v>
      </c>
      <c r="AK136" s="193">
        <v>0</v>
      </c>
      <c r="AL136" s="194">
        <v>0</v>
      </c>
      <c r="AM136" s="195">
        <v>0</v>
      </c>
      <c r="AN136" s="196">
        <v>0</v>
      </c>
      <c r="AO136" s="219">
        <v>0</v>
      </c>
      <c r="AP136" s="220">
        <v>0</v>
      </c>
      <c r="AQ136" s="205">
        <f t="shared" si="115"/>
        <v>0</v>
      </c>
      <c r="AR136" s="206">
        <f t="shared" si="116"/>
        <v>0</v>
      </c>
      <c r="AS136" s="193">
        <v>0</v>
      </c>
      <c r="AT136" s="194">
        <v>0</v>
      </c>
      <c r="AU136" s="195">
        <v>0</v>
      </c>
      <c r="AV136" s="196">
        <v>0</v>
      </c>
      <c r="AW136" s="219">
        <v>0</v>
      </c>
      <c r="AX136" s="220">
        <v>0</v>
      </c>
      <c r="AY136" s="205">
        <f t="shared" si="117"/>
        <v>0</v>
      </c>
      <c r="AZ136" s="206">
        <f t="shared" si="118"/>
        <v>0</v>
      </c>
      <c r="BA136" s="207">
        <f t="shared" si="119"/>
        <v>0</v>
      </c>
      <c r="BB136" s="204">
        <f t="shared" si="119"/>
        <v>0</v>
      </c>
      <c r="BC136" s="208">
        <f t="shared" si="120"/>
        <v>259</v>
      </c>
      <c r="BD136" s="209">
        <f t="shared" si="120"/>
        <v>398</v>
      </c>
      <c r="BE136" s="210">
        <f t="shared" si="121"/>
        <v>313</v>
      </c>
      <c r="BF136" s="211">
        <f t="shared" si="121"/>
        <v>444</v>
      </c>
      <c r="BG136" s="212">
        <f t="shared" si="122"/>
        <v>572</v>
      </c>
      <c r="BH136" s="213">
        <f t="shared" si="122"/>
        <v>842</v>
      </c>
    </row>
    <row r="137" spans="1:60" ht="21" x14ac:dyDescent="0.3">
      <c r="A137" s="214" t="s">
        <v>532</v>
      </c>
      <c r="B137" s="306">
        <v>3</v>
      </c>
      <c r="C137" s="322">
        <v>9</v>
      </c>
      <c r="D137" s="215" t="s">
        <v>65</v>
      </c>
      <c r="E137" s="182" t="s">
        <v>579</v>
      </c>
      <c r="F137" s="183" t="s">
        <v>580</v>
      </c>
      <c r="G137" s="216" t="s">
        <v>581</v>
      </c>
      <c r="H137" s="217" t="s">
        <v>582</v>
      </c>
      <c r="I137" s="217" t="s">
        <v>583</v>
      </c>
      <c r="J137" s="218" t="s">
        <v>583</v>
      </c>
      <c r="K137" s="223">
        <f t="shared" si="96"/>
        <v>0.46180555555474712</v>
      </c>
      <c r="L137" s="222">
        <v>0</v>
      </c>
      <c r="M137" s="189">
        <f t="shared" si="105"/>
        <v>0.46180555555474712</v>
      </c>
      <c r="N137" s="189">
        <f t="shared" si="106"/>
        <v>0.48263888889050577</v>
      </c>
      <c r="O137" s="190">
        <f t="shared" si="107"/>
        <v>50.436090225652208</v>
      </c>
      <c r="P137" s="190">
        <f t="shared" si="108"/>
        <v>50.436090225652208</v>
      </c>
      <c r="Q137" s="191">
        <f t="shared" si="109"/>
        <v>48.258992805593721</v>
      </c>
      <c r="R137" s="192" t="s">
        <v>71</v>
      </c>
      <c r="S137" s="193">
        <v>116</v>
      </c>
      <c r="T137" s="194">
        <v>1</v>
      </c>
      <c r="U137" s="195">
        <v>144</v>
      </c>
      <c r="V137" s="196">
        <v>12</v>
      </c>
      <c r="W137" s="219">
        <v>0</v>
      </c>
      <c r="X137" s="220">
        <v>1</v>
      </c>
      <c r="Y137" s="199">
        <f t="shared" si="110"/>
        <v>274</v>
      </c>
      <c r="Z137" s="200">
        <f t="shared" si="111"/>
        <v>431</v>
      </c>
      <c r="AA137" s="193">
        <v>86</v>
      </c>
      <c r="AB137" s="194">
        <v>25</v>
      </c>
      <c r="AC137" s="195">
        <v>119</v>
      </c>
      <c r="AD137" s="201">
        <v>51</v>
      </c>
      <c r="AE137" s="221">
        <v>0</v>
      </c>
      <c r="AF137" s="220">
        <v>4</v>
      </c>
      <c r="AG137" s="199">
        <f t="shared" si="112"/>
        <v>285</v>
      </c>
      <c r="AH137" s="200">
        <f t="shared" si="113"/>
        <v>459</v>
      </c>
      <c r="AI137" s="203">
        <f t="shared" si="114"/>
        <v>559</v>
      </c>
      <c r="AJ137" s="204">
        <f t="shared" si="114"/>
        <v>890</v>
      </c>
      <c r="AK137" s="193">
        <v>0</v>
      </c>
      <c r="AL137" s="194">
        <v>0</v>
      </c>
      <c r="AM137" s="195">
        <v>0</v>
      </c>
      <c r="AN137" s="196">
        <v>0</v>
      </c>
      <c r="AO137" s="219">
        <v>0</v>
      </c>
      <c r="AP137" s="220">
        <v>0</v>
      </c>
      <c r="AQ137" s="205">
        <f t="shared" si="115"/>
        <v>0</v>
      </c>
      <c r="AR137" s="206">
        <f t="shared" si="116"/>
        <v>0</v>
      </c>
      <c r="AS137" s="193">
        <v>0</v>
      </c>
      <c r="AT137" s="194">
        <v>0</v>
      </c>
      <c r="AU137" s="195">
        <v>0</v>
      </c>
      <c r="AV137" s="196">
        <v>0</v>
      </c>
      <c r="AW137" s="219">
        <v>0</v>
      </c>
      <c r="AX137" s="220">
        <v>0</v>
      </c>
      <c r="AY137" s="205">
        <f t="shared" si="117"/>
        <v>0</v>
      </c>
      <c r="AZ137" s="206">
        <f t="shared" si="118"/>
        <v>0</v>
      </c>
      <c r="BA137" s="207">
        <f t="shared" si="119"/>
        <v>0</v>
      </c>
      <c r="BB137" s="204">
        <f t="shared" si="119"/>
        <v>0</v>
      </c>
      <c r="BC137" s="208">
        <f t="shared" si="120"/>
        <v>274</v>
      </c>
      <c r="BD137" s="209">
        <f t="shared" si="120"/>
        <v>431</v>
      </c>
      <c r="BE137" s="210">
        <f t="shared" si="121"/>
        <v>285</v>
      </c>
      <c r="BF137" s="211">
        <f t="shared" si="121"/>
        <v>459</v>
      </c>
      <c r="BG137" s="212">
        <f t="shared" si="122"/>
        <v>559</v>
      </c>
      <c r="BH137" s="213">
        <f t="shared" si="122"/>
        <v>890</v>
      </c>
    </row>
    <row r="138" spans="1:60" ht="21" x14ac:dyDescent="0.3">
      <c r="A138" s="214" t="s">
        <v>532</v>
      </c>
      <c r="B138" s="306">
        <v>5</v>
      </c>
      <c r="C138" s="322">
        <v>10</v>
      </c>
      <c r="D138" s="215" t="s">
        <v>72</v>
      </c>
      <c r="E138" s="182" t="s">
        <v>584</v>
      </c>
      <c r="F138" s="183" t="s">
        <v>419</v>
      </c>
      <c r="G138" s="216" t="s">
        <v>585</v>
      </c>
      <c r="H138" s="217" t="s">
        <v>586</v>
      </c>
      <c r="I138" s="217" t="s">
        <v>587</v>
      </c>
      <c r="J138" s="218" t="s">
        <v>588</v>
      </c>
      <c r="K138" s="223">
        <f t="shared" si="96"/>
        <v>0.64652777777519077</v>
      </c>
      <c r="L138" s="222">
        <v>0</v>
      </c>
      <c r="M138" s="189">
        <f t="shared" si="105"/>
        <v>0.64652777777519077</v>
      </c>
      <c r="N138" s="189">
        <f t="shared" si="106"/>
        <v>0.66666666666424135</v>
      </c>
      <c r="O138" s="190">
        <f t="shared" si="107"/>
        <v>46.401718582355379</v>
      </c>
      <c r="P138" s="190">
        <f t="shared" si="108"/>
        <v>46.401718582355379</v>
      </c>
      <c r="Q138" s="191">
        <f t="shared" si="109"/>
        <v>45.000000000163709</v>
      </c>
      <c r="R138" s="192" t="s">
        <v>57</v>
      </c>
      <c r="S138" s="193">
        <v>179</v>
      </c>
      <c r="T138" s="194">
        <v>53</v>
      </c>
      <c r="U138" s="195">
        <v>104</v>
      </c>
      <c r="V138" s="196">
        <v>43</v>
      </c>
      <c r="W138" s="219">
        <v>0</v>
      </c>
      <c r="X138" s="220">
        <v>1</v>
      </c>
      <c r="Y138" s="199">
        <f t="shared" si="110"/>
        <v>380</v>
      </c>
      <c r="Z138" s="200">
        <f t="shared" si="111"/>
        <v>528</v>
      </c>
      <c r="AA138" s="193">
        <v>148</v>
      </c>
      <c r="AB138" s="194">
        <v>0</v>
      </c>
      <c r="AC138" s="195">
        <v>156</v>
      </c>
      <c r="AD138" s="201">
        <v>0</v>
      </c>
      <c r="AE138" s="221">
        <v>0</v>
      </c>
      <c r="AF138" s="220">
        <v>36</v>
      </c>
      <c r="AG138" s="199">
        <f t="shared" si="112"/>
        <v>340</v>
      </c>
      <c r="AH138" s="200">
        <f t="shared" si="113"/>
        <v>532</v>
      </c>
      <c r="AI138" s="203">
        <f t="shared" si="114"/>
        <v>720</v>
      </c>
      <c r="AJ138" s="204">
        <f t="shared" si="114"/>
        <v>1060</v>
      </c>
      <c r="AK138" s="193">
        <v>0</v>
      </c>
      <c r="AL138" s="194">
        <v>0</v>
      </c>
      <c r="AM138" s="195">
        <v>0</v>
      </c>
      <c r="AN138" s="196">
        <v>0</v>
      </c>
      <c r="AO138" s="219">
        <v>0</v>
      </c>
      <c r="AP138" s="220">
        <v>0</v>
      </c>
      <c r="AQ138" s="205">
        <f t="shared" si="115"/>
        <v>0</v>
      </c>
      <c r="AR138" s="206">
        <f t="shared" si="116"/>
        <v>0</v>
      </c>
      <c r="AS138" s="193">
        <v>0</v>
      </c>
      <c r="AT138" s="194">
        <v>0</v>
      </c>
      <c r="AU138" s="195">
        <v>0</v>
      </c>
      <c r="AV138" s="196">
        <v>0</v>
      </c>
      <c r="AW138" s="219">
        <v>0</v>
      </c>
      <c r="AX138" s="220">
        <v>0</v>
      </c>
      <c r="AY138" s="205">
        <f t="shared" si="117"/>
        <v>0</v>
      </c>
      <c r="AZ138" s="206">
        <f t="shared" si="118"/>
        <v>0</v>
      </c>
      <c r="BA138" s="207">
        <f t="shared" si="119"/>
        <v>0</v>
      </c>
      <c r="BB138" s="204">
        <f t="shared" si="119"/>
        <v>0</v>
      </c>
      <c r="BC138" s="208">
        <f t="shared" si="120"/>
        <v>380</v>
      </c>
      <c r="BD138" s="209">
        <f t="shared" si="120"/>
        <v>528</v>
      </c>
      <c r="BE138" s="210">
        <f t="shared" si="121"/>
        <v>340</v>
      </c>
      <c r="BF138" s="211">
        <f t="shared" si="121"/>
        <v>532</v>
      </c>
      <c r="BG138" s="212">
        <f t="shared" si="122"/>
        <v>720</v>
      </c>
      <c r="BH138" s="213">
        <f t="shared" si="122"/>
        <v>1060</v>
      </c>
    </row>
    <row r="139" spans="1:60" ht="21" x14ac:dyDescent="0.3">
      <c r="A139" s="214" t="s">
        <v>532</v>
      </c>
      <c r="B139" s="306">
        <v>6</v>
      </c>
      <c r="C139" s="322">
        <v>11</v>
      </c>
      <c r="D139" s="215" t="s">
        <v>51</v>
      </c>
      <c r="E139" s="182" t="s">
        <v>589</v>
      </c>
      <c r="F139" s="183" t="s">
        <v>580</v>
      </c>
      <c r="G139" s="216" t="s">
        <v>590</v>
      </c>
      <c r="H139" s="217" t="s">
        <v>591</v>
      </c>
      <c r="I139" s="217">
        <v>45793.043055555558</v>
      </c>
      <c r="J139" s="218" t="s">
        <v>592</v>
      </c>
      <c r="K139" s="223">
        <f t="shared" si="96"/>
        <v>0.92152777777664596</v>
      </c>
      <c r="L139" s="222">
        <v>0.14583333333575865</v>
      </c>
      <c r="M139" s="189">
        <f t="shared" si="105"/>
        <v>0.77569444444088731</v>
      </c>
      <c r="N139" s="189">
        <f t="shared" si="106"/>
        <v>0.95138888889050577</v>
      </c>
      <c r="O139" s="190">
        <f t="shared" si="107"/>
        <v>22.506714413711091</v>
      </c>
      <c r="P139" s="190">
        <f t="shared" si="108"/>
        <v>18.944988696330729</v>
      </c>
      <c r="Q139" s="191">
        <f t="shared" si="109"/>
        <v>18.350364963472462</v>
      </c>
      <c r="R139" s="192" t="s">
        <v>57</v>
      </c>
      <c r="S139" s="193">
        <v>119</v>
      </c>
      <c r="T139" s="194">
        <v>0</v>
      </c>
      <c r="U139" s="195">
        <v>53</v>
      </c>
      <c r="V139" s="196">
        <v>4</v>
      </c>
      <c r="W139" s="219">
        <v>0</v>
      </c>
      <c r="X139" s="220">
        <v>1</v>
      </c>
      <c r="Y139" s="199">
        <f t="shared" ref="Y139:Y160" si="123">SUM(S139:X139)</f>
        <v>177</v>
      </c>
      <c r="Z139" s="200">
        <f t="shared" si="111"/>
        <v>235</v>
      </c>
      <c r="AA139" s="193">
        <v>101</v>
      </c>
      <c r="AB139" s="194">
        <v>0</v>
      </c>
      <c r="AC139" s="195">
        <v>97</v>
      </c>
      <c r="AD139" s="201">
        <v>7</v>
      </c>
      <c r="AE139" s="221">
        <v>0</v>
      </c>
      <c r="AF139" s="220">
        <v>37</v>
      </c>
      <c r="AG139" s="199">
        <f t="shared" si="112"/>
        <v>242</v>
      </c>
      <c r="AH139" s="200">
        <f t="shared" si="113"/>
        <v>383</v>
      </c>
      <c r="AI139" s="203">
        <f t="shared" si="114"/>
        <v>419</v>
      </c>
      <c r="AJ139" s="204">
        <f t="shared" si="114"/>
        <v>618</v>
      </c>
      <c r="AK139" s="193">
        <v>0</v>
      </c>
      <c r="AL139" s="194">
        <v>0</v>
      </c>
      <c r="AM139" s="195">
        <v>0</v>
      </c>
      <c r="AN139" s="196">
        <v>0</v>
      </c>
      <c r="AO139" s="219">
        <v>0</v>
      </c>
      <c r="AP139" s="220">
        <v>0</v>
      </c>
      <c r="AQ139" s="205">
        <f t="shared" si="115"/>
        <v>0</v>
      </c>
      <c r="AR139" s="206">
        <f t="shared" si="116"/>
        <v>0</v>
      </c>
      <c r="AS139" s="193">
        <v>0</v>
      </c>
      <c r="AT139" s="194">
        <v>0</v>
      </c>
      <c r="AU139" s="195">
        <v>0</v>
      </c>
      <c r="AV139" s="196">
        <v>0</v>
      </c>
      <c r="AW139" s="219">
        <v>0</v>
      </c>
      <c r="AX139" s="220">
        <v>0</v>
      </c>
      <c r="AY139" s="205">
        <f t="shared" si="117"/>
        <v>0</v>
      </c>
      <c r="AZ139" s="206">
        <f t="shared" si="118"/>
        <v>0</v>
      </c>
      <c r="BA139" s="207">
        <f t="shared" si="119"/>
        <v>0</v>
      </c>
      <c r="BB139" s="204">
        <f t="shared" si="119"/>
        <v>0</v>
      </c>
      <c r="BC139" s="208">
        <f t="shared" si="120"/>
        <v>177</v>
      </c>
      <c r="BD139" s="209">
        <f t="shared" si="120"/>
        <v>235</v>
      </c>
      <c r="BE139" s="210">
        <f t="shared" si="121"/>
        <v>242</v>
      </c>
      <c r="BF139" s="211">
        <f t="shared" si="121"/>
        <v>383</v>
      </c>
      <c r="BG139" s="212">
        <f t="shared" si="122"/>
        <v>419</v>
      </c>
      <c r="BH139" s="213">
        <f t="shared" si="122"/>
        <v>618</v>
      </c>
    </row>
    <row r="140" spans="1:60" ht="21" x14ac:dyDescent="0.3">
      <c r="A140" s="214" t="s">
        <v>532</v>
      </c>
      <c r="B140" s="306">
        <v>7</v>
      </c>
      <c r="C140" s="322">
        <v>12</v>
      </c>
      <c r="D140" s="215" t="s">
        <v>58</v>
      </c>
      <c r="E140" s="182" t="s">
        <v>593</v>
      </c>
      <c r="F140" s="183" t="s">
        <v>580</v>
      </c>
      <c r="G140" s="216" t="s">
        <v>594</v>
      </c>
      <c r="H140" s="217" t="s">
        <v>595</v>
      </c>
      <c r="I140" s="217" t="s">
        <v>596</v>
      </c>
      <c r="J140" s="218" t="s">
        <v>597</v>
      </c>
      <c r="K140" s="223">
        <f t="shared" si="96"/>
        <v>0.76874999999563443</v>
      </c>
      <c r="L140" s="222">
        <v>0.19097222222626442</v>
      </c>
      <c r="M140" s="189">
        <f t="shared" si="105"/>
        <v>0.57777777776937</v>
      </c>
      <c r="N140" s="189">
        <f t="shared" si="106"/>
        <v>0.82986111110949423</v>
      </c>
      <c r="O140" s="190">
        <f t="shared" si="107"/>
        <v>38.221153846710038</v>
      </c>
      <c r="P140" s="190">
        <f t="shared" si="108"/>
        <v>28.726287263035758</v>
      </c>
      <c r="Q140" s="191">
        <f t="shared" si="109"/>
        <v>26.610878661139711</v>
      </c>
      <c r="R140" s="192">
        <v>0</v>
      </c>
      <c r="S140" s="193">
        <v>46</v>
      </c>
      <c r="T140" s="194">
        <v>6</v>
      </c>
      <c r="U140" s="195">
        <v>85</v>
      </c>
      <c r="V140" s="196">
        <v>1</v>
      </c>
      <c r="W140" s="219">
        <v>0</v>
      </c>
      <c r="X140" s="220">
        <v>0</v>
      </c>
      <c r="Y140" s="199">
        <f t="shared" si="123"/>
        <v>138</v>
      </c>
      <c r="Z140" s="200">
        <f t="shared" si="111"/>
        <v>224</v>
      </c>
      <c r="AA140" s="193">
        <v>119</v>
      </c>
      <c r="AB140" s="194">
        <v>0</v>
      </c>
      <c r="AC140" s="195">
        <v>107</v>
      </c>
      <c r="AD140" s="201">
        <v>166</v>
      </c>
      <c r="AE140" s="221">
        <v>0</v>
      </c>
      <c r="AF140" s="220">
        <v>0</v>
      </c>
      <c r="AG140" s="199">
        <f t="shared" si="112"/>
        <v>392</v>
      </c>
      <c r="AH140" s="200">
        <f t="shared" si="113"/>
        <v>665</v>
      </c>
      <c r="AI140" s="203">
        <f t="shared" si="114"/>
        <v>530</v>
      </c>
      <c r="AJ140" s="204">
        <f t="shared" si="114"/>
        <v>889</v>
      </c>
      <c r="AK140" s="193">
        <v>0</v>
      </c>
      <c r="AL140" s="194">
        <v>0</v>
      </c>
      <c r="AM140" s="195">
        <v>0</v>
      </c>
      <c r="AN140" s="196">
        <v>0</v>
      </c>
      <c r="AO140" s="219">
        <v>0</v>
      </c>
      <c r="AP140" s="220">
        <v>0</v>
      </c>
      <c r="AQ140" s="205">
        <f t="shared" si="115"/>
        <v>0</v>
      </c>
      <c r="AR140" s="206">
        <f t="shared" si="116"/>
        <v>0</v>
      </c>
      <c r="AS140" s="193">
        <v>0</v>
      </c>
      <c r="AT140" s="194">
        <v>0</v>
      </c>
      <c r="AU140" s="195">
        <v>0</v>
      </c>
      <c r="AV140" s="196">
        <v>0</v>
      </c>
      <c r="AW140" s="219">
        <v>0</v>
      </c>
      <c r="AX140" s="220">
        <v>0</v>
      </c>
      <c r="AY140" s="205">
        <f t="shared" si="117"/>
        <v>0</v>
      </c>
      <c r="AZ140" s="206">
        <f t="shared" si="118"/>
        <v>0</v>
      </c>
      <c r="BA140" s="207">
        <f t="shared" si="119"/>
        <v>0</v>
      </c>
      <c r="BB140" s="204">
        <f t="shared" si="119"/>
        <v>0</v>
      </c>
      <c r="BC140" s="208">
        <f t="shared" si="120"/>
        <v>138</v>
      </c>
      <c r="BD140" s="209">
        <f t="shared" si="120"/>
        <v>224</v>
      </c>
      <c r="BE140" s="210">
        <f t="shared" si="121"/>
        <v>392</v>
      </c>
      <c r="BF140" s="211">
        <f t="shared" si="121"/>
        <v>665</v>
      </c>
      <c r="BG140" s="212">
        <f t="shared" si="122"/>
        <v>530</v>
      </c>
      <c r="BH140" s="213">
        <f t="shared" si="122"/>
        <v>889</v>
      </c>
    </row>
    <row r="141" spans="1:60" ht="21" x14ac:dyDescent="0.3">
      <c r="A141" s="214" t="s">
        <v>532</v>
      </c>
      <c r="B141" s="306">
        <v>4</v>
      </c>
      <c r="C141" s="180">
        <v>13</v>
      </c>
      <c r="D141" s="215" t="s">
        <v>79</v>
      </c>
      <c r="E141" s="182" t="s">
        <v>598</v>
      </c>
      <c r="F141" s="183" t="s">
        <v>580</v>
      </c>
      <c r="G141" s="216" t="s">
        <v>599</v>
      </c>
      <c r="H141" s="217" t="s">
        <v>600</v>
      </c>
      <c r="I141" s="217" t="s">
        <v>601</v>
      </c>
      <c r="J141" s="218" t="s">
        <v>602</v>
      </c>
      <c r="K141" s="223">
        <f t="shared" si="96"/>
        <v>0.4493055555576575</v>
      </c>
      <c r="L141" s="222">
        <v>0</v>
      </c>
      <c r="M141" s="189">
        <f t="shared" si="105"/>
        <v>0.4493055555576575</v>
      </c>
      <c r="N141" s="189">
        <f t="shared" si="106"/>
        <v>0.47569444444525288</v>
      </c>
      <c r="O141" s="190">
        <f t="shared" si="107"/>
        <v>54.89953632122694</v>
      </c>
      <c r="P141" s="190">
        <f t="shared" si="108"/>
        <v>54.89953632122694</v>
      </c>
      <c r="Q141" s="191">
        <f t="shared" si="109"/>
        <v>51.854014598452018</v>
      </c>
      <c r="R141" s="192" t="s">
        <v>71</v>
      </c>
      <c r="S141" s="193">
        <v>131</v>
      </c>
      <c r="T141" s="194">
        <v>1</v>
      </c>
      <c r="U141" s="195">
        <v>159</v>
      </c>
      <c r="V141" s="196">
        <v>28</v>
      </c>
      <c r="W141" s="219">
        <v>0</v>
      </c>
      <c r="X141" s="220">
        <v>3</v>
      </c>
      <c r="Y141" s="199">
        <f t="shared" si="123"/>
        <v>322</v>
      </c>
      <c r="Z141" s="200">
        <f t="shared" si="111"/>
        <v>512</v>
      </c>
      <c r="AA141" s="193">
        <v>105</v>
      </c>
      <c r="AB141" s="194">
        <v>21</v>
      </c>
      <c r="AC141" s="195">
        <v>139</v>
      </c>
      <c r="AD141" s="201">
        <v>0</v>
      </c>
      <c r="AE141" s="221">
        <v>0</v>
      </c>
      <c r="AF141" s="220">
        <v>5</v>
      </c>
      <c r="AG141" s="199">
        <f t="shared" si="112"/>
        <v>270</v>
      </c>
      <c r="AH141" s="200">
        <f t="shared" si="113"/>
        <v>414</v>
      </c>
      <c r="AI141" s="203">
        <f t="shared" si="114"/>
        <v>592</v>
      </c>
      <c r="AJ141" s="204">
        <f t="shared" si="114"/>
        <v>926</v>
      </c>
      <c r="AK141" s="193">
        <v>0</v>
      </c>
      <c r="AL141" s="194">
        <v>0</v>
      </c>
      <c r="AM141" s="195">
        <v>0</v>
      </c>
      <c r="AN141" s="196">
        <v>0</v>
      </c>
      <c r="AO141" s="219">
        <v>0</v>
      </c>
      <c r="AP141" s="220">
        <v>0</v>
      </c>
      <c r="AQ141" s="205">
        <f t="shared" si="115"/>
        <v>0</v>
      </c>
      <c r="AR141" s="206">
        <f t="shared" si="116"/>
        <v>0</v>
      </c>
      <c r="AS141" s="193">
        <v>0</v>
      </c>
      <c r="AT141" s="194">
        <v>0</v>
      </c>
      <c r="AU141" s="195">
        <v>0</v>
      </c>
      <c r="AV141" s="196">
        <v>0</v>
      </c>
      <c r="AW141" s="219">
        <v>0</v>
      </c>
      <c r="AX141" s="220">
        <v>0</v>
      </c>
      <c r="AY141" s="205">
        <f t="shared" si="117"/>
        <v>0</v>
      </c>
      <c r="AZ141" s="206">
        <f t="shared" si="118"/>
        <v>0</v>
      </c>
      <c r="BA141" s="207">
        <f t="shared" si="119"/>
        <v>0</v>
      </c>
      <c r="BB141" s="204">
        <f t="shared" si="119"/>
        <v>0</v>
      </c>
      <c r="BC141" s="208">
        <f t="shared" si="120"/>
        <v>322</v>
      </c>
      <c r="BD141" s="209">
        <f t="shared" si="120"/>
        <v>512</v>
      </c>
      <c r="BE141" s="210">
        <f t="shared" si="121"/>
        <v>270</v>
      </c>
      <c r="BF141" s="211">
        <f t="shared" si="121"/>
        <v>414</v>
      </c>
      <c r="BG141" s="212">
        <f t="shared" si="122"/>
        <v>592</v>
      </c>
      <c r="BH141" s="213">
        <f t="shared" si="122"/>
        <v>926</v>
      </c>
    </row>
    <row r="142" spans="1:60" ht="21" x14ac:dyDescent="0.3">
      <c r="A142" s="214" t="s">
        <v>532</v>
      </c>
      <c r="B142" s="306">
        <v>3</v>
      </c>
      <c r="C142" s="180">
        <v>14</v>
      </c>
      <c r="D142" s="215" t="s">
        <v>43</v>
      </c>
      <c r="E142" s="182" t="s">
        <v>603</v>
      </c>
      <c r="F142" s="183" t="s">
        <v>604</v>
      </c>
      <c r="G142" s="216" t="s">
        <v>605</v>
      </c>
      <c r="H142" s="217" t="s">
        <v>606</v>
      </c>
      <c r="I142" s="217" t="s">
        <v>607</v>
      </c>
      <c r="J142" s="218" t="s">
        <v>608</v>
      </c>
      <c r="K142" s="223">
        <f t="shared" si="96"/>
        <v>0.5583333333270275</v>
      </c>
      <c r="L142" s="222">
        <v>2.4305555554747116E-2</v>
      </c>
      <c r="M142" s="189">
        <f t="shared" si="105"/>
        <v>0.53402777777228039</v>
      </c>
      <c r="N142" s="189">
        <f t="shared" si="106"/>
        <v>0.74652777777373558</v>
      </c>
      <c r="O142" s="190">
        <f t="shared" si="107"/>
        <v>41.976592978325485</v>
      </c>
      <c r="P142" s="190">
        <f t="shared" si="108"/>
        <v>40.149253731796726</v>
      </c>
      <c r="Q142" s="191">
        <f t="shared" si="109"/>
        <v>30.027906976906777</v>
      </c>
      <c r="R142" s="192">
        <v>0</v>
      </c>
      <c r="S142" s="193">
        <v>87</v>
      </c>
      <c r="T142" s="194">
        <v>12</v>
      </c>
      <c r="U142" s="195">
        <v>112</v>
      </c>
      <c r="V142" s="196">
        <v>50</v>
      </c>
      <c r="W142" s="219">
        <v>0</v>
      </c>
      <c r="X142" s="220">
        <v>0</v>
      </c>
      <c r="Y142" s="199">
        <f t="shared" si="123"/>
        <v>261</v>
      </c>
      <c r="Z142" s="200">
        <f t="shared" si="111"/>
        <v>423</v>
      </c>
      <c r="AA142" s="193">
        <v>116</v>
      </c>
      <c r="AB142" s="194">
        <v>0</v>
      </c>
      <c r="AC142" s="195">
        <v>150</v>
      </c>
      <c r="AD142" s="201">
        <v>11</v>
      </c>
      <c r="AE142" s="221">
        <v>0</v>
      </c>
      <c r="AF142" s="220">
        <v>0</v>
      </c>
      <c r="AG142" s="199">
        <f t="shared" si="112"/>
        <v>277</v>
      </c>
      <c r="AH142" s="200">
        <f t="shared" si="113"/>
        <v>438</v>
      </c>
      <c r="AI142" s="203">
        <f t="shared" si="114"/>
        <v>538</v>
      </c>
      <c r="AJ142" s="204">
        <f t="shared" si="114"/>
        <v>861</v>
      </c>
      <c r="AK142" s="193">
        <v>0</v>
      </c>
      <c r="AL142" s="194">
        <v>0</v>
      </c>
      <c r="AM142" s="195">
        <v>0</v>
      </c>
      <c r="AN142" s="196">
        <v>0</v>
      </c>
      <c r="AO142" s="219">
        <v>0</v>
      </c>
      <c r="AP142" s="220">
        <v>0</v>
      </c>
      <c r="AQ142" s="205">
        <f t="shared" si="115"/>
        <v>0</v>
      </c>
      <c r="AR142" s="206">
        <f t="shared" si="116"/>
        <v>0</v>
      </c>
      <c r="AS142" s="193">
        <v>0</v>
      </c>
      <c r="AT142" s="194">
        <v>0</v>
      </c>
      <c r="AU142" s="195">
        <v>0</v>
      </c>
      <c r="AV142" s="196">
        <v>0</v>
      </c>
      <c r="AW142" s="219">
        <v>0</v>
      </c>
      <c r="AX142" s="220">
        <v>0</v>
      </c>
      <c r="AY142" s="205">
        <f t="shared" si="117"/>
        <v>0</v>
      </c>
      <c r="AZ142" s="206">
        <f t="shared" si="118"/>
        <v>0</v>
      </c>
      <c r="BA142" s="207">
        <f t="shared" si="119"/>
        <v>0</v>
      </c>
      <c r="BB142" s="204">
        <f t="shared" si="119"/>
        <v>0</v>
      </c>
      <c r="BC142" s="208">
        <f t="shared" si="120"/>
        <v>261</v>
      </c>
      <c r="BD142" s="209">
        <f t="shared" si="120"/>
        <v>423</v>
      </c>
      <c r="BE142" s="210">
        <f t="shared" si="121"/>
        <v>277</v>
      </c>
      <c r="BF142" s="211">
        <f t="shared" si="121"/>
        <v>438</v>
      </c>
      <c r="BG142" s="212">
        <f t="shared" si="122"/>
        <v>538</v>
      </c>
      <c r="BH142" s="213">
        <f t="shared" si="122"/>
        <v>861</v>
      </c>
    </row>
    <row r="143" spans="1:60" ht="21" x14ac:dyDescent="0.3">
      <c r="A143" s="214" t="s">
        <v>532</v>
      </c>
      <c r="B143" s="306">
        <v>8</v>
      </c>
      <c r="C143" s="180">
        <v>15</v>
      </c>
      <c r="D143" s="215" t="s">
        <v>231</v>
      </c>
      <c r="E143" s="182" t="s">
        <v>609</v>
      </c>
      <c r="F143" s="183" t="s">
        <v>476</v>
      </c>
      <c r="G143" s="216" t="s">
        <v>610</v>
      </c>
      <c r="H143" s="217" t="s">
        <v>611</v>
      </c>
      <c r="I143" s="217" t="s">
        <v>612</v>
      </c>
      <c r="J143" s="218" t="s">
        <v>613</v>
      </c>
      <c r="K143" s="223">
        <f t="shared" si="96"/>
        <v>0.55902777777373558</v>
      </c>
      <c r="L143" s="222">
        <v>6.25E-2</v>
      </c>
      <c r="M143" s="189">
        <f t="shared" si="105"/>
        <v>0.49652777777373558</v>
      </c>
      <c r="N143" s="189">
        <f t="shared" si="106"/>
        <v>0.58333333332848269</v>
      </c>
      <c r="O143" s="190">
        <f t="shared" si="107"/>
        <v>45.650349650721289</v>
      </c>
      <c r="P143" s="190">
        <f t="shared" si="108"/>
        <v>40.54658385122486</v>
      </c>
      <c r="Q143" s="191">
        <f t="shared" si="109"/>
        <v>38.857142857465966</v>
      </c>
      <c r="R143" s="192" t="s">
        <v>57</v>
      </c>
      <c r="S143" s="193">
        <v>157</v>
      </c>
      <c r="T143" s="194">
        <v>0</v>
      </c>
      <c r="U143" s="195">
        <v>78</v>
      </c>
      <c r="V143" s="196">
        <v>64</v>
      </c>
      <c r="W143" s="219">
        <v>0</v>
      </c>
      <c r="X143" s="220">
        <v>0</v>
      </c>
      <c r="Y143" s="199">
        <f t="shared" si="123"/>
        <v>299</v>
      </c>
      <c r="Z143" s="200">
        <f t="shared" si="111"/>
        <v>441</v>
      </c>
      <c r="AA143" s="193">
        <v>121</v>
      </c>
      <c r="AB143" s="194">
        <v>0</v>
      </c>
      <c r="AC143" s="195">
        <v>102</v>
      </c>
      <c r="AD143" s="201">
        <v>2</v>
      </c>
      <c r="AE143" s="221">
        <v>0</v>
      </c>
      <c r="AF143" s="220">
        <v>20</v>
      </c>
      <c r="AG143" s="199">
        <f t="shared" si="112"/>
        <v>245</v>
      </c>
      <c r="AH143" s="200">
        <f t="shared" si="113"/>
        <v>369</v>
      </c>
      <c r="AI143" s="203">
        <f t="shared" si="114"/>
        <v>544</v>
      </c>
      <c r="AJ143" s="204">
        <f t="shared" si="114"/>
        <v>810</v>
      </c>
      <c r="AK143" s="193">
        <v>0</v>
      </c>
      <c r="AL143" s="194">
        <v>0</v>
      </c>
      <c r="AM143" s="195">
        <v>0</v>
      </c>
      <c r="AN143" s="196">
        <v>0</v>
      </c>
      <c r="AO143" s="219">
        <v>0</v>
      </c>
      <c r="AP143" s="220">
        <v>0</v>
      </c>
      <c r="AQ143" s="205">
        <f t="shared" si="115"/>
        <v>0</v>
      </c>
      <c r="AR143" s="206">
        <f t="shared" si="116"/>
        <v>0</v>
      </c>
      <c r="AS143" s="193">
        <v>0</v>
      </c>
      <c r="AT143" s="194">
        <v>0</v>
      </c>
      <c r="AU143" s="195">
        <v>0</v>
      </c>
      <c r="AV143" s="196">
        <v>0</v>
      </c>
      <c r="AW143" s="219">
        <v>0</v>
      </c>
      <c r="AX143" s="220">
        <v>0</v>
      </c>
      <c r="AY143" s="205">
        <f t="shared" si="117"/>
        <v>0</v>
      </c>
      <c r="AZ143" s="206">
        <f t="shared" si="118"/>
        <v>0</v>
      </c>
      <c r="BA143" s="207">
        <f t="shared" si="119"/>
        <v>0</v>
      </c>
      <c r="BB143" s="204">
        <f t="shared" si="119"/>
        <v>0</v>
      </c>
      <c r="BC143" s="208">
        <f t="shared" si="120"/>
        <v>299</v>
      </c>
      <c r="BD143" s="209">
        <f t="shared" si="120"/>
        <v>441</v>
      </c>
      <c r="BE143" s="210">
        <f t="shared" si="121"/>
        <v>245</v>
      </c>
      <c r="BF143" s="211">
        <f t="shared" si="121"/>
        <v>369</v>
      </c>
      <c r="BG143" s="212">
        <f t="shared" si="122"/>
        <v>544</v>
      </c>
      <c r="BH143" s="213">
        <f t="shared" si="122"/>
        <v>810</v>
      </c>
    </row>
    <row r="144" spans="1:60" ht="21" x14ac:dyDescent="0.3">
      <c r="A144" s="214" t="s">
        <v>532</v>
      </c>
      <c r="B144" s="306">
        <v>5</v>
      </c>
      <c r="C144" s="180">
        <v>16</v>
      </c>
      <c r="D144" s="215" t="s">
        <v>65</v>
      </c>
      <c r="E144" s="182" t="s">
        <v>614</v>
      </c>
      <c r="F144" s="183" t="s">
        <v>615</v>
      </c>
      <c r="G144" s="216" t="s">
        <v>616</v>
      </c>
      <c r="H144" s="217" t="s">
        <v>616</v>
      </c>
      <c r="I144" s="217" t="s">
        <v>617</v>
      </c>
      <c r="J144" s="218" t="s">
        <v>618</v>
      </c>
      <c r="K144" s="223">
        <f t="shared" si="96"/>
        <v>0.49027777778246673</v>
      </c>
      <c r="L144" s="222">
        <v>0</v>
      </c>
      <c r="M144" s="189">
        <f t="shared" si="105"/>
        <v>0.49027777778246673</v>
      </c>
      <c r="N144" s="189">
        <f t="shared" si="106"/>
        <v>0.52083333333575865</v>
      </c>
      <c r="O144" s="190">
        <f t="shared" si="107"/>
        <v>46.912181302667484</v>
      </c>
      <c r="P144" s="190">
        <f t="shared" si="108"/>
        <v>46.912181302667484</v>
      </c>
      <c r="Q144" s="191">
        <f t="shared" si="109"/>
        <v>44.159999999794366</v>
      </c>
      <c r="R144" s="192" t="s">
        <v>71</v>
      </c>
      <c r="S144" s="193">
        <v>132</v>
      </c>
      <c r="T144" s="194">
        <v>2</v>
      </c>
      <c r="U144" s="195">
        <v>148</v>
      </c>
      <c r="V144" s="196">
        <v>23</v>
      </c>
      <c r="W144" s="219">
        <v>0</v>
      </c>
      <c r="X144" s="220">
        <v>2</v>
      </c>
      <c r="Y144" s="199">
        <f t="shared" si="123"/>
        <v>307</v>
      </c>
      <c r="Z144" s="200">
        <f t="shared" si="111"/>
        <v>480</v>
      </c>
      <c r="AA144" s="193">
        <v>76</v>
      </c>
      <c r="AB144" s="194">
        <v>20</v>
      </c>
      <c r="AC144" s="195">
        <v>129</v>
      </c>
      <c r="AD144" s="201">
        <v>17</v>
      </c>
      <c r="AE144" s="221">
        <v>0</v>
      </c>
      <c r="AF144" s="220">
        <v>3</v>
      </c>
      <c r="AG144" s="199">
        <f t="shared" si="112"/>
        <v>245</v>
      </c>
      <c r="AH144" s="200">
        <f t="shared" si="113"/>
        <v>394</v>
      </c>
      <c r="AI144" s="203">
        <f t="shared" si="114"/>
        <v>552</v>
      </c>
      <c r="AJ144" s="204">
        <f t="shared" si="114"/>
        <v>874</v>
      </c>
      <c r="AK144" s="193">
        <v>0</v>
      </c>
      <c r="AL144" s="194">
        <v>0</v>
      </c>
      <c r="AM144" s="195">
        <v>0</v>
      </c>
      <c r="AN144" s="196">
        <v>0</v>
      </c>
      <c r="AO144" s="219">
        <v>0</v>
      </c>
      <c r="AP144" s="220">
        <v>0</v>
      </c>
      <c r="AQ144" s="205">
        <f t="shared" si="115"/>
        <v>0</v>
      </c>
      <c r="AR144" s="206">
        <f t="shared" si="116"/>
        <v>0</v>
      </c>
      <c r="AS144" s="193">
        <v>0</v>
      </c>
      <c r="AT144" s="194">
        <v>0</v>
      </c>
      <c r="AU144" s="195">
        <v>0</v>
      </c>
      <c r="AV144" s="196">
        <v>0</v>
      </c>
      <c r="AW144" s="219">
        <v>0</v>
      </c>
      <c r="AX144" s="220">
        <v>0</v>
      </c>
      <c r="AY144" s="205">
        <f t="shared" si="117"/>
        <v>0</v>
      </c>
      <c r="AZ144" s="206">
        <f t="shared" si="118"/>
        <v>0</v>
      </c>
      <c r="BA144" s="207">
        <f t="shared" si="119"/>
        <v>0</v>
      </c>
      <c r="BB144" s="204">
        <f t="shared" si="119"/>
        <v>0</v>
      </c>
      <c r="BC144" s="208">
        <f t="shared" si="120"/>
        <v>307</v>
      </c>
      <c r="BD144" s="209">
        <f t="shared" si="120"/>
        <v>480</v>
      </c>
      <c r="BE144" s="210">
        <f t="shared" si="121"/>
        <v>245</v>
      </c>
      <c r="BF144" s="211">
        <f t="shared" si="121"/>
        <v>394</v>
      </c>
      <c r="BG144" s="212">
        <f t="shared" si="122"/>
        <v>552</v>
      </c>
      <c r="BH144" s="213">
        <f t="shared" si="122"/>
        <v>874</v>
      </c>
    </row>
    <row r="145" spans="1:60" ht="21" x14ac:dyDescent="0.3">
      <c r="A145" s="214" t="s">
        <v>532</v>
      </c>
      <c r="B145" s="306">
        <v>9</v>
      </c>
      <c r="C145" s="180">
        <v>17</v>
      </c>
      <c r="D145" s="215" t="s">
        <v>58</v>
      </c>
      <c r="E145" s="182" t="s">
        <v>619</v>
      </c>
      <c r="F145" s="183" t="s">
        <v>615</v>
      </c>
      <c r="G145" s="216" t="s">
        <v>620</v>
      </c>
      <c r="H145" s="217" t="s">
        <v>621</v>
      </c>
      <c r="I145" s="217" t="s">
        <v>622</v>
      </c>
      <c r="J145" s="218" t="s">
        <v>623</v>
      </c>
      <c r="K145" s="223">
        <f t="shared" si="96"/>
        <v>0.6131944444423425</v>
      </c>
      <c r="L145" s="222">
        <v>9.0277777781011537E-2</v>
      </c>
      <c r="M145" s="189">
        <f t="shared" si="105"/>
        <v>0.52291666666133096</v>
      </c>
      <c r="N145" s="189">
        <f t="shared" si="106"/>
        <v>0.71180555555474712</v>
      </c>
      <c r="O145" s="190">
        <f t="shared" si="107"/>
        <v>39.043824701593614</v>
      </c>
      <c r="P145" s="190">
        <f t="shared" si="108"/>
        <v>33.295583239072229</v>
      </c>
      <c r="Q145" s="191">
        <f t="shared" si="109"/>
        <v>28.682926829300868</v>
      </c>
      <c r="R145" s="192">
        <v>0</v>
      </c>
      <c r="S145" s="193">
        <v>31</v>
      </c>
      <c r="T145" s="194">
        <v>0</v>
      </c>
      <c r="U145" s="195">
        <v>39</v>
      </c>
      <c r="V145" s="196">
        <v>4</v>
      </c>
      <c r="W145" s="219">
        <v>0</v>
      </c>
      <c r="X145" s="220">
        <v>0</v>
      </c>
      <c r="Y145" s="199">
        <f t="shared" si="123"/>
        <v>74</v>
      </c>
      <c r="Z145" s="200">
        <f t="shared" si="111"/>
        <v>117</v>
      </c>
      <c r="AA145" s="193">
        <v>96</v>
      </c>
      <c r="AB145" s="194">
        <v>20</v>
      </c>
      <c r="AC145" s="195">
        <v>134</v>
      </c>
      <c r="AD145" s="201">
        <v>66</v>
      </c>
      <c r="AE145" s="221">
        <v>0</v>
      </c>
      <c r="AF145" s="220">
        <v>0</v>
      </c>
      <c r="AG145" s="199">
        <f t="shared" si="112"/>
        <v>316</v>
      </c>
      <c r="AH145" s="200">
        <f t="shared" si="113"/>
        <v>516</v>
      </c>
      <c r="AI145" s="203">
        <f t="shared" si="114"/>
        <v>390</v>
      </c>
      <c r="AJ145" s="204">
        <f t="shared" si="114"/>
        <v>633</v>
      </c>
      <c r="AK145" s="193">
        <v>1</v>
      </c>
      <c r="AL145" s="194">
        <v>0</v>
      </c>
      <c r="AM145" s="195">
        <v>0</v>
      </c>
      <c r="AN145" s="196">
        <v>49</v>
      </c>
      <c r="AO145" s="219">
        <v>0</v>
      </c>
      <c r="AP145" s="220">
        <v>0</v>
      </c>
      <c r="AQ145" s="205">
        <f t="shared" si="115"/>
        <v>50</v>
      </c>
      <c r="AR145" s="206">
        <f t="shared" si="116"/>
        <v>99</v>
      </c>
      <c r="AS145" s="193">
        <v>1</v>
      </c>
      <c r="AT145" s="194">
        <v>0</v>
      </c>
      <c r="AU145" s="195">
        <v>0</v>
      </c>
      <c r="AV145" s="196">
        <v>49</v>
      </c>
      <c r="AW145" s="219">
        <v>0</v>
      </c>
      <c r="AX145" s="220">
        <v>0</v>
      </c>
      <c r="AY145" s="205">
        <f t="shared" si="117"/>
        <v>50</v>
      </c>
      <c r="AZ145" s="206">
        <f t="shared" si="118"/>
        <v>99</v>
      </c>
      <c r="BA145" s="207">
        <f t="shared" si="119"/>
        <v>100</v>
      </c>
      <c r="BB145" s="204">
        <f t="shared" si="119"/>
        <v>198</v>
      </c>
      <c r="BC145" s="208">
        <f t="shared" si="120"/>
        <v>124</v>
      </c>
      <c r="BD145" s="209">
        <f t="shared" si="120"/>
        <v>216</v>
      </c>
      <c r="BE145" s="210">
        <f t="shared" si="121"/>
        <v>366</v>
      </c>
      <c r="BF145" s="211">
        <f t="shared" si="121"/>
        <v>615</v>
      </c>
      <c r="BG145" s="212">
        <f t="shared" si="122"/>
        <v>490</v>
      </c>
      <c r="BH145" s="213">
        <f t="shared" si="122"/>
        <v>831</v>
      </c>
    </row>
    <row r="146" spans="1:60" ht="21" x14ac:dyDescent="0.3">
      <c r="A146" s="214" t="s">
        <v>532</v>
      </c>
      <c r="B146" s="306">
        <v>10</v>
      </c>
      <c r="C146" s="180">
        <v>18</v>
      </c>
      <c r="D146" s="215" t="s">
        <v>72</v>
      </c>
      <c r="E146" s="182" t="s">
        <v>624</v>
      </c>
      <c r="F146" s="183" t="s">
        <v>445</v>
      </c>
      <c r="G146" s="216" t="s">
        <v>625</v>
      </c>
      <c r="H146" s="217" t="s">
        <v>626</v>
      </c>
      <c r="I146" s="217" t="s">
        <v>627</v>
      </c>
      <c r="J146" s="218" t="s">
        <v>628</v>
      </c>
      <c r="K146" s="223">
        <f t="shared" si="96"/>
        <v>0.66736111111094942</v>
      </c>
      <c r="L146" s="222">
        <v>0</v>
      </c>
      <c r="M146" s="189">
        <f t="shared" si="105"/>
        <v>0.66736111111094942</v>
      </c>
      <c r="N146" s="189">
        <f t="shared" si="106"/>
        <v>0.6875</v>
      </c>
      <c r="O146" s="190">
        <f t="shared" si="107"/>
        <v>45.827263267440863</v>
      </c>
      <c r="P146" s="190">
        <f t="shared" si="108"/>
        <v>45.827263267440863</v>
      </c>
      <c r="Q146" s="191">
        <f t="shared" si="109"/>
        <v>44.484848484848492</v>
      </c>
      <c r="R146" s="192" t="s">
        <v>57</v>
      </c>
      <c r="S146" s="193">
        <v>159</v>
      </c>
      <c r="T146" s="194">
        <v>0</v>
      </c>
      <c r="U146" s="195">
        <v>127</v>
      </c>
      <c r="V146" s="196">
        <v>25</v>
      </c>
      <c r="W146" s="219">
        <v>0</v>
      </c>
      <c r="X146" s="220">
        <v>0</v>
      </c>
      <c r="Y146" s="199">
        <f t="shared" si="123"/>
        <v>311</v>
      </c>
      <c r="Z146" s="200">
        <f t="shared" si="111"/>
        <v>463</v>
      </c>
      <c r="AA146" s="193">
        <v>110</v>
      </c>
      <c r="AB146" s="194">
        <v>0</v>
      </c>
      <c r="AC146" s="195">
        <v>128</v>
      </c>
      <c r="AD146" s="201">
        <v>100</v>
      </c>
      <c r="AE146" s="221">
        <v>0</v>
      </c>
      <c r="AF146" s="220">
        <v>51</v>
      </c>
      <c r="AG146" s="199">
        <f t="shared" si="112"/>
        <v>389</v>
      </c>
      <c r="AH146" s="200">
        <f t="shared" si="113"/>
        <v>668</v>
      </c>
      <c r="AI146" s="203">
        <f t="shared" ref="AI146:AJ161" si="124">Y146+AG146</f>
        <v>700</v>
      </c>
      <c r="AJ146" s="204">
        <f t="shared" si="124"/>
        <v>1131</v>
      </c>
      <c r="AK146" s="193">
        <v>1</v>
      </c>
      <c r="AL146" s="194">
        <v>0</v>
      </c>
      <c r="AM146" s="195">
        <v>16</v>
      </c>
      <c r="AN146" s="196">
        <v>0</v>
      </c>
      <c r="AO146" s="219">
        <v>0</v>
      </c>
      <c r="AP146" s="220">
        <v>0</v>
      </c>
      <c r="AQ146" s="205">
        <f t="shared" si="115"/>
        <v>17</v>
      </c>
      <c r="AR146" s="206">
        <f t="shared" si="116"/>
        <v>33</v>
      </c>
      <c r="AS146" s="193">
        <v>1</v>
      </c>
      <c r="AT146" s="194">
        <v>0</v>
      </c>
      <c r="AU146" s="195">
        <v>16</v>
      </c>
      <c r="AV146" s="196">
        <v>0</v>
      </c>
      <c r="AW146" s="219">
        <v>0</v>
      </c>
      <c r="AX146" s="220">
        <v>0</v>
      </c>
      <c r="AY146" s="205">
        <f t="shared" si="117"/>
        <v>17</v>
      </c>
      <c r="AZ146" s="206">
        <f t="shared" si="118"/>
        <v>33</v>
      </c>
      <c r="BA146" s="207">
        <f t="shared" ref="BA146:BB161" si="125">AQ146+AY146</f>
        <v>34</v>
      </c>
      <c r="BB146" s="204">
        <f t="shared" si="125"/>
        <v>66</v>
      </c>
      <c r="BC146" s="208">
        <f t="shared" ref="BC146:BD161" si="126">Y146+AQ146</f>
        <v>328</v>
      </c>
      <c r="BD146" s="209">
        <f t="shared" si="126"/>
        <v>496</v>
      </c>
      <c r="BE146" s="210">
        <f t="shared" ref="BE146:BF161" si="127">AG146+AY146</f>
        <v>406</v>
      </c>
      <c r="BF146" s="211">
        <f t="shared" si="127"/>
        <v>701</v>
      </c>
      <c r="BG146" s="212">
        <f t="shared" ref="BG146:BH161" si="128">BC146+BE146</f>
        <v>734</v>
      </c>
      <c r="BH146" s="213">
        <f t="shared" si="128"/>
        <v>1197</v>
      </c>
    </row>
    <row r="147" spans="1:60" ht="21" x14ac:dyDescent="0.3">
      <c r="A147" s="214" t="s">
        <v>532</v>
      </c>
      <c r="B147" s="306">
        <v>6</v>
      </c>
      <c r="C147" s="180">
        <v>19</v>
      </c>
      <c r="D147" s="215" t="s">
        <v>79</v>
      </c>
      <c r="E147" s="182" t="s">
        <v>629</v>
      </c>
      <c r="F147" s="183" t="s">
        <v>615</v>
      </c>
      <c r="G147" s="216" t="s">
        <v>630</v>
      </c>
      <c r="H147" s="217" t="s">
        <v>631</v>
      </c>
      <c r="I147" s="217">
        <v>45801.306250000001</v>
      </c>
      <c r="J147" s="218" t="s">
        <v>632</v>
      </c>
      <c r="K147" s="223">
        <f t="shared" si="96"/>
        <v>0.48680555555620231</v>
      </c>
      <c r="L147" s="222">
        <v>0</v>
      </c>
      <c r="M147" s="189">
        <f t="shared" si="105"/>
        <v>0.48680555555620231</v>
      </c>
      <c r="N147" s="189">
        <f t="shared" si="106"/>
        <v>0.53125</v>
      </c>
      <c r="O147" s="190">
        <f t="shared" si="107"/>
        <v>49.215406561988821</v>
      </c>
      <c r="P147" s="190">
        <f t="shared" si="108"/>
        <v>49.215406561988821</v>
      </c>
      <c r="Q147" s="191">
        <f t="shared" si="109"/>
        <v>45.098039215686271</v>
      </c>
      <c r="R147" s="192" t="s">
        <v>71</v>
      </c>
      <c r="S147" s="193">
        <v>106</v>
      </c>
      <c r="T147" s="194">
        <v>2</v>
      </c>
      <c r="U147" s="195">
        <v>162</v>
      </c>
      <c r="V147" s="196">
        <v>35</v>
      </c>
      <c r="W147" s="219">
        <v>0</v>
      </c>
      <c r="X147" s="220">
        <v>5</v>
      </c>
      <c r="Y147" s="199">
        <f t="shared" si="123"/>
        <v>310</v>
      </c>
      <c r="Z147" s="200">
        <f t="shared" si="111"/>
        <v>512</v>
      </c>
      <c r="AA147" s="193">
        <v>103</v>
      </c>
      <c r="AB147" s="194">
        <v>19</v>
      </c>
      <c r="AC147" s="195">
        <v>138</v>
      </c>
      <c r="AD147" s="201">
        <v>0</v>
      </c>
      <c r="AE147" s="221">
        <v>0</v>
      </c>
      <c r="AF147" s="220">
        <v>5</v>
      </c>
      <c r="AG147" s="199">
        <f t="shared" si="112"/>
        <v>265</v>
      </c>
      <c r="AH147" s="200">
        <f t="shared" si="113"/>
        <v>408</v>
      </c>
      <c r="AI147" s="203">
        <f t="shared" si="124"/>
        <v>575</v>
      </c>
      <c r="AJ147" s="204">
        <f t="shared" si="124"/>
        <v>920</v>
      </c>
      <c r="AK147" s="193">
        <v>0</v>
      </c>
      <c r="AL147" s="194">
        <v>0</v>
      </c>
      <c r="AM147" s="195">
        <v>0</v>
      </c>
      <c r="AN147" s="196">
        <v>0</v>
      </c>
      <c r="AO147" s="219">
        <v>0</v>
      </c>
      <c r="AP147" s="220">
        <v>0</v>
      </c>
      <c r="AQ147" s="205">
        <f t="shared" si="115"/>
        <v>0</v>
      </c>
      <c r="AR147" s="206">
        <f t="shared" si="116"/>
        <v>0</v>
      </c>
      <c r="AS147" s="193">
        <v>0</v>
      </c>
      <c r="AT147" s="194">
        <v>0</v>
      </c>
      <c r="AU147" s="195">
        <v>0</v>
      </c>
      <c r="AV147" s="196">
        <v>0</v>
      </c>
      <c r="AW147" s="219">
        <v>0</v>
      </c>
      <c r="AX147" s="220">
        <v>0</v>
      </c>
      <c r="AY147" s="205">
        <f t="shared" si="117"/>
        <v>0</v>
      </c>
      <c r="AZ147" s="206">
        <f t="shared" si="118"/>
        <v>0</v>
      </c>
      <c r="BA147" s="207">
        <f t="shared" si="125"/>
        <v>0</v>
      </c>
      <c r="BB147" s="204">
        <f t="shared" si="125"/>
        <v>0</v>
      </c>
      <c r="BC147" s="208">
        <f t="shared" si="126"/>
        <v>310</v>
      </c>
      <c r="BD147" s="209">
        <f t="shared" si="126"/>
        <v>512</v>
      </c>
      <c r="BE147" s="210">
        <f t="shared" si="127"/>
        <v>265</v>
      </c>
      <c r="BF147" s="211">
        <f t="shared" si="127"/>
        <v>408</v>
      </c>
      <c r="BG147" s="212">
        <f t="shared" si="128"/>
        <v>575</v>
      </c>
      <c r="BH147" s="213">
        <f t="shared" si="128"/>
        <v>920</v>
      </c>
    </row>
    <row r="148" spans="1:60" ht="21" x14ac:dyDescent="0.3">
      <c r="A148" s="214" t="s">
        <v>532</v>
      </c>
      <c r="B148" s="306">
        <v>11</v>
      </c>
      <c r="C148" s="180">
        <v>20</v>
      </c>
      <c r="D148" s="215" t="s">
        <v>51</v>
      </c>
      <c r="E148" s="182" t="s">
        <v>633</v>
      </c>
      <c r="F148" s="183" t="s">
        <v>615</v>
      </c>
      <c r="G148" s="216" t="s">
        <v>634</v>
      </c>
      <c r="H148" s="217" t="s">
        <v>635</v>
      </c>
      <c r="I148" s="217" t="s">
        <v>636</v>
      </c>
      <c r="J148" s="218" t="s">
        <v>637</v>
      </c>
      <c r="K148" s="223">
        <f t="shared" si="96"/>
        <v>0.76874999999563443</v>
      </c>
      <c r="L148" s="222">
        <v>0</v>
      </c>
      <c r="M148" s="189">
        <f t="shared" si="105"/>
        <v>0.76874999999563443</v>
      </c>
      <c r="N148" s="189">
        <f t="shared" si="106"/>
        <v>0.79166666666424135</v>
      </c>
      <c r="O148" s="190">
        <f t="shared" si="107"/>
        <v>27.208672086875382</v>
      </c>
      <c r="P148" s="190">
        <f t="shared" si="108"/>
        <v>27.208672086875382</v>
      </c>
      <c r="Q148" s="191">
        <f t="shared" si="109"/>
        <v>26.42105263165989</v>
      </c>
      <c r="R148" s="192" t="s">
        <v>57</v>
      </c>
      <c r="S148" s="193">
        <v>101</v>
      </c>
      <c r="T148" s="194">
        <v>26</v>
      </c>
      <c r="U148" s="195">
        <v>55</v>
      </c>
      <c r="V148" s="196">
        <v>41</v>
      </c>
      <c r="W148" s="219">
        <v>0</v>
      </c>
      <c r="X148" s="220">
        <v>2</v>
      </c>
      <c r="Y148" s="199">
        <f t="shared" si="123"/>
        <v>225</v>
      </c>
      <c r="Z148" s="200">
        <f t="shared" si="111"/>
        <v>323</v>
      </c>
      <c r="AA148" s="193">
        <v>96</v>
      </c>
      <c r="AB148" s="194">
        <v>0</v>
      </c>
      <c r="AC148" s="195">
        <v>116</v>
      </c>
      <c r="AD148" s="201">
        <v>44</v>
      </c>
      <c r="AE148" s="221">
        <v>0</v>
      </c>
      <c r="AF148" s="220">
        <v>21</v>
      </c>
      <c r="AG148" s="199">
        <f t="shared" si="112"/>
        <v>277</v>
      </c>
      <c r="AH148" s="200">
        <f t="shared" si="113"/>
        <v>458</v>
      </c>
      <c r="AI148" s="203">
        <f t="shared" si="124"/>
        <v>502</v>
      </c>
      <c r="AJ148" s="204">
        <f t="shared" si="124"/>
        <v>781</v>
      </c>
      <c r="AK148" s="193">
        <v>0</v>
      </c>
      <c r="AL148" s="194">
        <v>0</v>
      </c>
      <c r="AM148" s="195">
        <v>0</v>
      </c>
      <c r="AN148" s="196">
        <v>0</v>
      </c>
      <c r="AO148" s="219">
        <v>0</v>
      </c>
      <c r="AP148" s="220">
        <v>0</v>
      </c>
      <c r="AQ148" s="205">
        <f t="shared" si="115"/>
        <v>0</v>
      </c>
      <c r="AR148" s="206">
        <f t="shared" si="116"/>
        <v>0</v>
      </c>
      <c r="AS148" s="193">
        <v>0</v>
      </c>
      <c r="AT148" s="194">
        <v>0</v>
      </c>
      <c r="AU148" s="195">
        <v>0</v>
      </c>
      <c r="AV148" s="196">
        <v>0</v>
      </c>
      <c r="AW148" s="219">
        <v>0</v>
      </c>
      <c r="AX148" s="220">
        <v>0</v>
      </c>
      <c r="AY148" s="205">
        <f t="shared" si="117"/>
        <v>0</v>
      </c>
      <c r="AZ148" s="206">
        <f t="shared" si="118"/>
        <v>0</v>
      </c>
      <c r="BA148" s="207">
        <f t="shared" si="125"/>
        <v>0</v>
      </c>
      <c r="BB148" s="204">
        <f t="shared" si="125"/>
        <v>0</v>
      </c>
      <c r="BC148" s="208">
        <f t="shared" si="126"/>
        <v>225</v>
      </c>
      <c r="BD148" s="209">
        <f t="shared" si="126"/>
        <v>323</v>
      </c>
      <c r="BE148" s="210">
        <f t="shared" si="127"/>
        <v>277</v>
      </c>
      <c r="BF148" s="211">
        <f t="shared" si="127"/>
        <v>458</v>
      </c>
      <c r="BG148" s="212">
        <f t="shared" si="128"/>
        <v>502</v>
      </c>
      <c r="BH148" s="213">
        <f t="shared" si="128"/>
        <v>781</v>
      </c>
    </row>
    <row r="149" spans="1:60" ht="21" x14ac:dyDescent="0.3">
      <c r="A149" s="214" t="s">
        <v>532</v>
      </c>
      <c r="B149" s="306">
        <v>4</v>
      </c>
      <c r="C149" s="180">
        <v>21</v>
      </c>
      <c r="D149" s="215" t="s">
        <v>43</v>
      </c>
      <c r="E149" s="182" t="s">
        <v>638</v>
      </c>
      <c r="F149" s="183" t="s">
        <v>639</v>
      </c>
      <c r="G149" s="216" t="s">
        <v>640</v>
      </c>
      <c r="H149" s="217" t="s">
        <v>641</v>
      </c>
      <c r="I149" s="217" t="s">
        <v>642</v>
      </c>
      <c r="J149" s="218" t="s">
        <v>643</v>
      </c>
      <c r="K149" s="223">
        <f t="shared" si="96"/>
        <v>0.58888888888759539</v>
      </c>
      <c r="L149" s="222">
        <v>0</v>
      </c>
      <c r="M149" s="189">
        <f t="shared" si="105"/>
        <v>0.58888888888759539</v>
      </c>
      <c r="N149" s="189">
        <f t="shared" si="106"/>
        <v>0.67708333333575865</v>
      </c>
      <c r="O149" s="190">
        <f t="shared" si="107"/>
        <v>40.330188679333865</v>
      </c>
      <c r="P149" s="190">
        <f t="shared" si="108"/>
        <v>40.330188679333865</v>
      </c>
      <c r="Q149" s="191">
        <f t="shared" si="109"/>
        <v>35.076923076797435</v>
      </c>
      <c r="R149" s="192">
        <v>0</v>
      </c>
      <c r="S149" s="193">
        <v>104</v>
      </c>
      <c r="T149" s="194">
        <v>4</v>
      </c>
      <c r="U149" s="195">
        <v>115</v>
      </c>
      <c r="V149" s="196">
        <v>55</v>
      </c>
      <c r="W149" s="219">
        <v>0</v>
      </c>
      <c r="X149" s="220">
        <v>0</v>
      </c>
      <c r="Y149" s="199">
        <f t="shared" si="123"/>
        <v>278</v>
      </c>
      <c r="Z149" s="200">
        <f t="shared" si="111"/>
        <v>448</v>
      </c>
      <c r="AA149" s="193">
        <v>128</v>
      </c>
      <c r="AB149" s="194">
        <v>0</v>
      </c>
      <c r="AC149" s="195">
        <v>94</v>
      </c>
      <c r="AD149" s="201">
        <v>70</v>
      </c>
      <c r="AE149" s="221">
        <v>0</v>
      </c>
      <c r="AF149" s="220">
        <v>0</v>
      </c>
      <c r="AG149" s="199">
        <f t="shared" si="112"/>
        <v>292</v>
      </c>
      <c r="AH149" s="200">
        <f t="shared" si="113"/>
        <v>456</v>
      </c>
      <c r="AI149" s="203">
        <f t="shared" si="124"/>
        <v>570</v>
      </c>
      <c r="AJ149" s="204">
        <f t="shared" si="124"/>
        <v>904</v>
      </c>
      <c r="AK149" s="193">
        <v>0</v>
      </c>
      <c r="AL149" s="194">
        <v>0</v>
      </c>
      <c r="AM149" s="195">
        <v>0</v>
      </c>
      <c r="AN149" s="196">
        <v>0</v>
      </c>
      <c r="AO149" s="219">
        <v>0</v>
      </c>
      <c r="AP149" s="220">
        <v>0</v>
      </c>
      <c r="AQ149" s="205">
        <f t="shared" si="115"/>
        <v>0</v>
      </c>
      <c r="AR149" s="206">
        <f t="shared" si="116"/>
        <v>0</v>
      </c>
      <c r="AS149" s="193">
        <v>0</v>
      </c>
      <c r="AT149" s="194">
        <v>0</v>
      </c>
      <c r="AU149" s="195">
        <v>0</v>
      </c>
      <c r="AV149" s="196">
        <v>0</v>
      </c>
      <c r="AW149" s="219">
        <v>0</v>
      </c>
      <c r="AX149" s="220">
        <v>0</v>
      </c>
      <c r="AY149" s="205">
        <f t="shared" si="117"/>
        <v>0</v>
      </c>
      <c r="AZ149" s="206">
        <f t="shared" si="118"/>
        <v>0</v>
      </c>
      <c r="BA149" s="207">
        <f t="shared" si="125"/>
        <v>0</v>
      </c>
      <c r="BB149" s="204">
        <f t="shared" si="125"/>
        <v>0</v>
      </c>
      <c r="BC149" s="208">
        <f t="shared" si="126"/>
        <v>278</v>
      </c>
      <c r="BD149" s="209">
        <f t="shared" si="126"/>
        <v>448</v>
      </c>
      <c r="BE149" s="210">
        <f t="shared" si="127"/>
        <v>292</v>
      </c>
      <c r="BF149" s="211">
        <f t="shared" si="127"/>
        <v>456</v>
      </c>
      <c r="BG149" s="212">
        <f t="shared" si="128"/>
        <v>570</v>
      </c>
      <c r="BH149" s="213">
        <f t="shared" si="128"/>
        <v>904</v>
      </c>
    </row>
    <row r="150" spans="1:60" ht="21" x14ac:dyDescent="0.3">
      <c r="A150" s="214" t="s">
        <v>532</v>
      </c>
      <c r="B150" s="306">
        <v>7</v>
      </c>
      <c r="C150" s="180">
        <v>22</v>
      </c>
      <c r="D150" s="215" t="s">
        <v>65</v>
      </c>
      <c r="E150" s="182" t="s">
        <v>644</v>
      </c>
      <c r="F150" s="183" t="s">
        <v>645</v>
      </c>
      <c r="G150" s="216" t="s">
        <v>646</v>
      </c>
      <c r="H150" s="217" t="s">
        <v>647</v>
      </c>
      <c r="I150" s="217" t="s">
        <v>648</v>
      </c>
      <c r="J150" s="218" t="s">
        <v>649</v>
      </c>
      <c r="K150" s="223">
        <f t="shared" si="96"/>
        <v>0.47499999999854481</v>
      </c>
      <c r="L150" s="222">
        <v>0</v>
      </c>
      <c r="M150" s="189">
        <f t="shared" si="105"/>
        <v>0.47499999999854481</v>
      </c>
      <c r="N150" s="189">
        <f t="shared" si="106"/>
        <v>0.51388888889050577</v>
      </c>
      <c r="O150" s="190">
        <f t="shared" si="107"/>
        <v>50.43859649138259</v>
      </c>
      <c r="P150" s="190">
        <f t="shared" si="108"/>
        <v>50.43859649138259</v>
      </c>
      <c r="Q150" s="191">
        <f t="shared" si="109"/>
        <v>46.621621621474929</v>
      </c>
      <c r="R150" s="192" t="s">
        <v>71</v>
      </c>
      <c r="S150" s="193">
        <v>129</v>
      </c>
      <c r="T150" s="194">
        <v>2</v>
      </c>
      <c r="U150" s="195">
        <v>144</v>
      </c>
      <c r="V150" s="196">
        <v>44</v>
      </c>
      <c r="W150" s="219">
        <v>0</v>
      </c>
      <c r="X150" s="220">
        <v>1</v>
      </c>
      <c r="Y150" s="199">
        <f t="shared" si="123"/>
        <v>320</v>
      </c>
      <c r="Z150" s="200">
        <f t="shared" si="111"/>
        <v>509</v>
      </c>
      <c r="AA150" s="193">
        <v>81</v>
      </c>
      <c r="AB150" s="194">
        <v>23</v>
      </c>
      <c r="AC150" s="195">
        <v>132</v>
      </c>
      <c r="AD150" s="201">
        <v>15</v>
      </c>
      <c r="AE150" s="221">
        <v>0</v>
      </c>
      <c r="AF150" s="220">
        <v>4</v>
      </c>
      <c r="AG150" s="199">
        <f t="shared" si="112"/>
        <v>255</v>
      </c>
      <c r="AH150" s="200">
        <f t="shared" si="113"/>
        <v>406</v>
      </c>
      <c r="AI150" s="203">
        <f t="shared" si="124"/>
        <v>575</v>
      </c>
      <c r="AJ150" s="204">
        <f t="shared" si="124"/>
        <v>915</v>
      </c>
      <c r="AK150" s="193">
        <v>0</v>
      </c>
      <c r="AL150" s="194">
        <v>0</v>
      </c>
      <c r="AM150" s="195">
        <v>0</v>
      </c>
      <c r="AN150" s="196">
        <v>0</v>
      </c>
      <c r="AO150" s="219">
        <v>0</v>
      </c>
      <c r="AP150" s="220">
        <v>0</v>
      </c>
      <c r="AQ150" s="205">
        <f t="shared" si="115"/>
        <v>0</v>
      </c>
      <c r="AR150" s="206">
        <f t="shared" si="116"/>
        <v>0</v>
      </c>
      <c r="AS150" s="193">
        <v>0</v>
      </c>
      <c r="AT150" s="194">
        <v>0</v>
      </c>
      <c r="AU150" s="195">
        <v>0</v>
      </c>
      <c r="AV150" s="196">
        <v>0</v>
      </c>
      <c r="AW150" s="219">
        <v>0</v>
      </c>
      <c r="AX150" s="220">
        <v>0</v>
      </c>
      <c r="AY150" s="205">
        <f t="shared" si="117"/>
        <v>0</v>
      </c>
      <c r="AZ150" s="206">
        <f t="shared" si="118"/>
        <v>0</v>
      </c>
      <c r="BA150" s="207">
        <f t="shared" si="125"/>
        <v>0</v>
      </c>
      <c r="BB150" s="204">
        <f t="shared" si="125"/>
        <v>0</v>
      </c>
      <c r="BC150" s="208">
        <f t="shared" si="126"/>
        <v>320</v>
      </c>
      <c r="BD150" s="209">
        <f t="shared" si="126"/>
        <v>509</v>
      </c>
      <c r="BE150" s="210">
        <f t="shared" si="127"/>
        <v>255</v>
      </c>
      <c r="BF150" s="211">
        <f t="shared" si="127"/>
        <v>406</v>
      </c>
      <c r="BG150" s="212">
        <f t="shared" si="128"/>
        <v>575</v>
      </c>
      <c r="BH150" s="213">
        <f t="shared" si="128"/>
        <v>915</v>
      </c>
    </row>
    <row r="151" spans="1:60" ht="21" x14ac:dyDescent="0.3">
      <c r="A151" s="214" t="s">
        <v>532</v>
      </c>
      <c r="B151" s="306">
        <v>12</v>
      </c>
      <c r="C151" s="180">
        <v>23</v>
      </c>
      <c r="D151" s="215" t="s">
        <v>231</v>
      </c>
      <c r="E151" s="182" t="s">
        <v>650</v>
      </c>
      <c r="F151" s="183" t="s">
        <v>507</v>
      </c>
      <c r="G151" s="216" t="s">
        <v>651</v>
      </c>
      <c r="H151" s="217" t="s">
        <v>652</v>
      </c>
      <c r="I151" s="217" t="s">
        <v>653</v>
      </c>
      <c r="J151" s="218" t="s">
        <v>654</v>
      </c>
      <c r="K151" s="223">
        <f t="shared" si="96"/>
        <v>0.69444444444525288</v>
      </c>
      <c r="L151" s="222">
        <v>3.4722222218988463E-2</v>
      </c>
      <c r="M151" s="189">
        <f t="shared" si="105"/>
        <v>0.65972222222626442</v>
      </c>
      <c r="N151" s="189">
        <f t="shared" si="106"/>
        <v>0.74652777777373558</v>
      </c>
      <c r="O151" s="190">
        <f t="shared" si="107"/>
        <v>32.463157894537936</v>
      </c>
      <c r="P151" s="190">
        <f t="shared" si="108"/>
        <v>30.839999999964096</v>
      </c>
      <c r="Q151" s="191">
        <f t="shared" si="109"/>
        <v>28.688372093178597</v>
      </c>
      <c r="R151" s="192" t="s">
        <v>57</v>
      </c>
      <c r="S151" s="193">
        <v>115</v>
      </c>
      <c r="T151" s="194">
        <v>0</v>
      </c>
      <c r="U151" s="195">
        <v>80</v>
      </c>
      <c r="V151" s="196">
        <v>48</v>
      </c>
      <c r="W151" s="219">
        <v>0</v>
      </c>
      <c r="X151" s="220">
        <v>1</v>
      </c>
      <c r="Y151" s="199">
        <f t="shared" si="123"/>
        <v>244</v>
      </c>
      <c r="Z151" s="200">
        <f t="shared" si="111"/>
        <v>373</v>
      </c>
      <c r="AA151" s="193">
        <v>123</v>
      </c>
      <c r="AB151" s="194">
        <v>0</v>
      </c>
      <c r="AC151" s="195">
        <v>73</v>
      </c>
      <c r="AD151" s="201">
        <v>56</v>
      </c>
      <c r="AE151" s="221">
        <v>0</v>
      </c>
      <c r="AF151" s="220">
        <v>18</v>
      </c>
      <c r="AG151" s="199">
        <f t="shared" si="112"/>
        <v>270</v>
      </c>
      <c r="AH151" s="200">
        <f t="shared" si="113"/>
        <v>417</v>
      </c>
      <c r="AI151" s="203">
        <f t="shared" si="124"/>
        <v>514</v>
      </c>
      <c r="AJ151" s="204">
        <f t="shared" si="124"/>
        <v>790</v>
      </c>
      <c r="AK151" s="193">
        <v>0</v>
      </c>
      <c r="AL151" s="194">
        <v>0</v>
      </c>
      <c r="AM151" s="195">
        <v>0</v>
      </c>
      <c r="AN151" s="196">
        <v>0</v>
      </c>
      <c r="AO151" s="219">
        <v>0</v>
      </c>
      <c r="AP151" s="220">
        <v>0</v>
      </c>
      <c r="AQ151" s="205">
        <f t="shared" si="115"/>
        <v>0</v>
      </c>
      <c r="AR151" s="206">
        <f t="shared" si="116"/>
        <v>0</v>
      </c>
      <c r="AS151" s="193">
        <v>0</v>
      </c>
      <c r="AT151" s="194">
        <v>0</v>
      </c>
      <c r="AU151" s="195">
        <v>0</v>
      </c>
      <c r="AV151" s="196">
        <v>0</v>
      </c>
      <c r="AW151" s="219">
        <v>0</v>
      </c>
      <c r="AX151" s="220">
        <v>0</v>
      </c>
      <c r="AY151" s="205">
        <f t="shared" si="117"/>
        <v>0</v>
      </c>
      <c r="AZ151" s="206">
        <f t="shared" si="118"/>
        <v>0</v>
      </c>
      <c r="BA151" s="207">
        <f t="shared" si="125"/>
        <v>0</v>
      </c>
      <c r="BB151" s="204">
        <f t="shared" si="125"/>
        <v>0</v>
      </c>
      <c r="BC151" s="208">
        <f t="shared" si="126"/>
        <v>244</v>
      </c>
      <c r="BD151" s="209">
        <f t="shared" si="126"/>
        <v>373</v>
      </c>
      <c r="BE151" s="210">
        <f t="shared" si="127"/>
        <v>270</v>
      </c>
      <c r="BF151" s="211">
        <f t="shared" si="127"/>
        <v>417</v>
      </c>
      <c r="BG151" s="212">
        <f t="shared" si="128"/>
        <v>514</v>
      </c>
      <c r="BH151" s="213">
        <f t="shared" si="128"/>
        <v>790</v>
      </c>
    </row>
    <row r="152" spans="1:60" ht="21" x14ac:dyDescent="0.3">
      <c r="A152" s="214" t="s">
        <v>532</v>
      </c>
      <c r="B152" s="306">
        <v>13</v>
      </c>
      <c r="C152" s="180">
        <v>24</v>
      </c>
      <c r="D152" s="215" t="s">
        <v>655</v>
      </c>
      <c r="E152" s="182" t="s">
        <v>656</v>
      </c>
      <c r="F152" s="183" t="s">
        <v>53</v>
      </c>
      <c r="G152" s="216" t="s">
        <v>657</v>
      </c>
      <c r="H152" s="217" t="s">
        <v>658</v>
      </c>
      <c r="I152" s="217" t="s">
        <v>653</v>
      </c>
      <c r="J152" s="218" t="s">
        <v>654</v>
      </c>
      <c r="K152" s="223">
        <f t="shared" si="96"/>
        <v>0.44097222222626442</v>
      </c>
      <c r="L152" s="222">
        <v>1.3888888890505768E-2</v>
      </c>
      <c r="M152" s="189">
        <f t="shared" si="105"/>
        <v>0.42708333333575865</v>
      </c>
      <c r="N152" s="189">
        <f t="shared" si="106"/>
        <v>0.50347222221898846</v>
      </c>
      <c r="O152" s="190">
        <f t="shared" si="107"/>
        <v>13.170731707242281</v>
      </c>
      <c r="P152" s="190">
        <f t="shared" si="108"/>
        <v>12.755905511694095</v>
      </c>
      <c r="Q152" s="191">
        <f t="shared" si="109"/>
        <v>11.172413793175208</v>
      </c>
      <c r="R152" s="192" t="s">
        <v>57</v>
      </c>
      <c r="S152" s="193">
        <v>54</v>
      </c>
      <c r="T152" s="194">
        <v>0</v>
      </c>
      <c r="U152" s="195">
        <v>36</v>
      </c>
      <c r="V152" s="196">
        <v>7</v>
      </c>
      <c r="W152" s="219">
        <v>0</v>
      </c>
      <c r="X152" s="220">
        <v>0</v>
      </c>
      <c r="Y152" s="199">
        <f t="shared" si="123"/>
        <v>97</v>
      </c>
      <c r="Z152" s="200">
        <f t="shared" si="111"/>
        <v>140</v>
      </c>
      <c r="AA152" s="193">
        <v>0</v>
      </c>
      <c r="AB152" s="194">
        <v>0</v>
      </c>
      <c r="AC152" s="195">
        <v>16</v>
      </c>
      <c r="AD152" s="201">
        <v>0</v>
      </c>
      <c r="AE152" s="221">
        <v>0</v>
      </c>
      <c r="AF152" s="220">
        <v>0</v>
      </c>
      <c r="AG152" s="199">
        <f t="shared" si="112"/>
        <v>16</v>
      </c>
      <c r="AH152" s="200">
        <f t="shared" si="113"/>
        <v>32</v>
      </c>
      <c r="AI152" s="203">
        <f t="shared" si="124"/>
        <v>113</v>
      </c>
      <c r="AJ152" s="204">
        <f t="shared" si="124"/>
        <v>172</v>
      </c>
      <c r="AK152" s="193">
        <v>0</v>
      </c>
      <c r="AL152" s="194">
        <v>0</v>
      </c>
      <c r="AM152" s="195">
        <v>11</v>
      </c>
      <c r="AN152" s="196">
        <v>0</v>
      </c>
      <c r="AO152" s="219">
        <v>0</v>
      </c>
      <c r="AP152" s="220">
        <v>0</v>
      </c>
      <c r="AQ152" s="205">
        <f t="shared" si="115"/>
        <v>11</v>
      </c>
      <c r="AR152" s="206">
        <f t="shared" si="116"/>
        <v>22</v>
      </c>
      <c r="AS152" s="193">
        <v>0</v>
      </c>
      <c r="AT152" s="194">
        <v>0</v>
      </c>
      <c r="AU152" s="195">
        <v>11</v>
      </c>
      <c r="AV152" s="196">
        <v>0</v>
      </c>
      <c r="AW152" s="219">
        <v>0</v>
      </c>
      <c r="AX152" s="220">
        <v>0</v>
      </c>
      <c r="AY152" s="205">
        <f t="shared" si="117"/>
        <v>11</v>
      </c>
      <c r="AZ152" s="206">
        <f t="shared" si="118"/>
        <v>22</v>
      </c>
      <c r="BA152" s="207">
        <f t="shared" si="125"/>
        <v>22</v>
      </c>
      <c r="BB152" s="204">
        <f t="shared" si="125"/>
        <v>44</v>
      </c>
      <c r="BC152" s="208">
        <f t="shared" si="126"/>
        <v>108</v>
      </c>
      <c r="BD152" s="209">
        <f t="shared" si="126"/>
        <v>162</v>
      </c>
      <c r="BE152" s="210">
        <f t="shared" si="127"/>
        <v>27</v>
      </c>
      <c r="BF152" s="211">
        <f t="shared" si="127"/>
        <v>54</v>
      </c>
      <c r="BG152" s="212">
        <f t="shared" si="128"/>
        <v>135</v>
      </c>
      <c r="BH152" s="213">
        <f t="shared" si="128"/>
        <v>216</v>
      </c>
    </row>
    <row r="153" spans="1:60" ht="21" x14ac:dyDescent="0.3">
      <c r="A153" s="214" t="s">
        <v>532</v>
      </c>
      <c r="B153" s="306">
        <v>14</v>
      </c>
      <c r="C153" s="180">
        <v>25</v>
      </c>
      <c r="D153" s="215" t="s">
        <v>58</v>
      </c>
      <c r="E153" s="182" t="s">
        <v>659</v>
      </c>
      <c r="F153" s="183" t="s">
        <v>645</v>
      </c>
      <c r="G153" s="216" t="s">
        <v>660</v>
      </c>
      <c r="H153" s="217" t="s">
        <v>661</v>
      </c>
      <c r="I153" s="217" t="s">
        <v>662</v>
      </c>
      <c r="J153" s="218">
        <v>45809.166666666664</v>
      </c>
      <c r="K153" s="223">
        <f t="shared" si="96"/>
        <v>1.7777777777810115</v>
      </c>
      <c r="L153" s="222">
        <v>1.2083333333357587</v>
      </c>
      <c r="M153" s="189">
        <f t="shared" si="105"/>
        <v>0.56944444444525288</v>
      </c>
      <c r="N153" s="189">
        <f t="shared" si="106"/>
        <v>3.0069444444452529</v>
      </c>
      <c r="O153" s="190">
        <f t="shared" si="107"/>
        <v>18.146341463388872</v>
      </c>
      <c r="P153" s="190">
        <f t="shared" si="108"/>
        <v>5.8124999999894271</v>
      </c>
      <c r="Q153" s="191">
        <f t="shared" si="109"/>
        <v>3.436489607389376</v>
      </c>
      <c r="R153" s="192" t="s">
        <v>57</v>
      </c>
      <c r="S153" s="193">
        <v>59</v>
      </c>
      <c r="T153" s="194">
        <v>19</v>
      </c>
      <c r="U153" s="195">
        <v>17</v>
      </c>
      <c r="V153" s="196">
        <v>46</v>
      </c>
      <c r="W153" s="219">
        <v>0</v>
      </c>
      <c r="X153" s="220">
        <v>0</v>
      </c>
      <c r="Y153" s="199">
        <f t="shared" si="123"/>
        <v>141</v>
      </c>
      <c r="Z153" s="200">
        <f t="shared" si="111"/>
        <v>204</v>
      </c>
      <c r="AA153" s="193">
        <v>64</v>
      </c>
      <c r="AB153" s="194">
        <v>0</v>
      </c>
      <c r="AC153" s="195">
        <v>43</v>
      </c>
      <c r="AD153" s="201">
        <v>0</v>
      </c>
      <c r="AE153" s="221">
        <v>0</v>
      </c>
      <c r="AF153" s="220">
        <v>0</v>
      </c>
      <c r="AG153" s="199">
        <f t="shared" si="112"/>
        <v>107</v>
      </c>
      <c r="AH153" s="200">
        <f t="shared" si="113"/>
        <v>150</v>
      </c>
      <c r="AI153" s="203">
        <f t="shared" si="124"/>
        <v>248</v>
      </c>
      <c r="AJ153" s="204">
        <f t="shared" si="124"/>
        <v>354</v>
      </c>
      <c r="AK153" s="193">
        <v>0</v>
      </c>
      <c r="AL153" s="194">
        <v>0</v>
      </c>
      <c r="AM153" s="195">
        <v>0</v>
      </c>
      <c r="AN153" s="196">
        <v>0</v>
      </c>
      <c r="AO153" s="219">
        <v>0</v>
      </c>
      <c r="AP153" s="220">
        <v>0</v>
      </c>
      <c r="AQ153" s="205">
        <f t="shared" si="115"/>
        <v>0</v>
      </c>
      <c r="AR153" s="206">
        <f t="shared" si="116"/>
        <v>0</v>
      </c>
      <c r="AS153" s="193">
        <v>0</v>
      </c>
      <c r="AT153" s="194">
        <v>0</v>
      </c>
      <c r="AU153" s="195">
        <v>0</v>
      </c>
      <c r="AV153" s="196">
        <v>0</v>
      </c>
      <c r="AW153" s="219">
        <v>0</v>
      </c>
      <c r="AX153" s="220">
        <v>0</v>
      </c>
      <c r="AY153" s="205">
        <f t="shared" si="117"/>
        <v>0</v>
      </c>
      <c r="AZ153" s="206">
        <f t="shared" si="118"/>
        <v>0</v>
      </c>
      <c r="BA153" s="207">
        <f t="shared" si="125"/>
        <v>0</v>
      </c>
      <c r="BB153" s="204">
        <f t="shared" si="125"/>
        <v>0</v>
      </c>
      <c r="BC153" s="208">
        <f t="shared" si="126"/>
        <v>141</v>
      </c>
      <c r="BD153" s="209">
        <f t="shared" si="126"/>
        <v>204</v>
      </c>
      <c r="BE153" s="210">
        <f t="shared" si="127"/>
        <v>107</v>
      </c>
      <c r="BF153" s="211">
        <f t="shared" si="127"/>
        <v>150</v>
      </c>
      <c r="BG153" s="212">
        <f t="shared" si="128"/>
        <v>248</v>
      </c>
      <c r="BH153" s="213">
        <f t="shared" si="128"/>
        <v>354</v>
      </c>
    </row>
    <row r="154" spans="1:60" ht="21.6" thickBot="1" x14ac:dyDescent="0.35">
      <c r="A154" s="214" t="s">
        <v>532</v>
      </c>
      <c r="B154" s="306">
        <v>8</v>
      </c>
      <c r="C154" s="180">
        <v>26</v>
      </c>
      <c r="D154" s="215" t="s">
        <v>79</v>
      </c>
      <c r="E154" s="182" t="s">
        <v>663</v>
      </c>
      <c r="F154" s="183" t="s">
        <v>645</v>
      </c>
      <c r="G154" s="216" t="s">
        <v>664</v>
      </c>
      <c r="H154" s="217" t="s">
        <v>665</v>
      </c>
      <c r="I154" s="217" t="s">
        <v>666</v>
      </c>
      <c r="J154" s="218">
        <v>45808.635416666664</v>
      </c>
      <c r="K154" s="223">
        <f t="shared" si="96"/>
        <v>0.41458333333139308</v>
      </c>
      <c r="L154" s="222">
        <v>0</v>
      </c>
      <c r="M154" s="189">
        <f t="shared" si="105"/>
        <v>0.41458333333139308</v>
      </c>
      <c r="N154" s="189">
        <f t="shared" si="106"/>
        <v>0.44444444444525288</v>
      </c>
      <c r="O154" s="190">
        <f t="shared" si="107"/>
        <v>57.48743718619869</v>
      </c>
      <c r="P154" s="190">
        <f t="shared" si="108"/>
        <v>57.48743718619869</v>
      </c>
      <c r="Q154" s="191">
        <f t="shared" si="109"/>
        <v>53.624999999902457</v>
      </c>
      <c r="R154" s="192" t="s">
        <v>71</v>
      </c>
      <c r="S154" s="193">
        <v>115</v>
      </c>
      <c r="T154" s="194">
        <v>2</v>
      </c>
      <c r="U154" s="195">
        <v>157</v>
      </c>
      <c r="V154" s="196">
        <v>31</v>
      </c>
      <c r="W154" s="219">
        <v>0</v>
      </c>
      <c r="X154" s="220">
        <v>3</v>
      </c>
      <c r="Y154" s="199">
        <f t="shared" si="123"/>
        <v>308</v>
      </c>
      <c r="Z154" s="200">
        <f t="shared" si="111"/>
        <v>499</v>
      </c>
      <c r="AA154" s="193">
        <v>93</v>
      </c>
      <c r="AB154" s="194">
        <v>27</v>
      </c>
      <c r="AC154" s="195">
        <v>139</v>
      </c>
      <c r="AD154" s="201">
        <v>0</v>
      </c>
      <c r="AE154" s="221">
        <v>0</v>
      </c>
      <c r="AF154" s="220">
        <v>5</v>
      </c>
      <c r="AG154" s="199">
        <f t="shared" si="112"/>
        <v>264</v>
      </c>
      <c r="AH154" s="200">
        <f t="shared" si="113"/>
        <v>408</v>
      </c>
      <c r="AI154" s="203">
        <f t="shared" si="124"/>
        <v>572</v>
      </c>
      <c r="AJ154" s="204">
        <f t="shared" si="124"/>
        <v>907</v>
      </c>
      <c r="AK154" s="193">
        <v>0</v>
      </c>
      <c r="AL154" s="194">
        <v>0</v>
      </c>
      <c r="AM154" s="195">
        <v>0</v>
      </c>
      <c r="AN154" s="196">
        <v>0</v>
      </c>
      <c r="AO154" s="219">
        <v>0</v>
      </c>
      <c r="AP154" s="220">
        <v>0</v>
      </c>
      <c r="AQ154" s="205">
        <f t="shared" si="115"/>
        <v>0</v>
      </c>
      <c r="AR154" s="206">
        <f t="shared" si="116"/>
        <v>0</v>
      </c>
      <c r="AS154" s="193">
        <v>0</v>
      </c>
      <c r="AT154" s="194">
        <v>0</v>
      </c>
      <c r="AU154" s="195">
        <v>0</v>
      </c>
      <c r="AV154" s="196">
        <v>0</v>
      </c>
      <c r="AW154" s="219">
        <v>0</v>
      </c>
      <c r="AX154" s="220">
        <v>0</v>
      </c>
      <c r="AY154" s="205">
        <f t="shared" si="117"/>
        <v>0</v>
      </c>
      <c r="AZ154" s="206">
        <f t="shared" si="118"/>
        <v>0</v>
      </c>
      <c r="BA154" s="207">
        <f t="shared" si="125"/>
        <v>0</v>
      </c>
      <c r="BB154" s="204">
        <f t="shared" si="125"/>
        <v>0</v>
      </c>
      <c r="BC154" s="208">
        <f t="shared" si="126"/>
        <v>308</v>
      </c>
      <c r="BD154" s="209">
        <f t="shared" si="126"/>
        <v>499</v>
      </c>
      <c r="BE154" s="210">
        <f t="shared" si="127"/>
        <v>264</v>
      </c>
      <c r="BF154" s="211">
        <f t="shared" si="127"/>
        <v>408</v>
      </c>
      <c r="BG154" s="212">
        <f t="shared" si="128"/>
        <v>572</v>
      </c>
      <c r="BH154" s="213">
        <f t="shared" si="128"/>
        <v>907</v>
      </c>
    </row>
    <row r="155" spans="1:60" ht="21.6" hidden="1" thickBot="1" x14ac:dyDescent="0.35">
      <c r="A155" s="214" t="s">
        <v>532</v>
      </c>
      <c r="B155" s="228"/>
      <c r="C155" s="180"/>
      <c r="D155" s="215"/>
      <c r="E155" s="182"/>
      <c r="F155" s="183"/>
      <c r="G155" s="216"/>
      <c r="H155" s="217"/>
      <c r="I155" s="217"/>
      <c r="J155" s="218"/>
      <c r="K155" s="223">
        <f>I155-H155</f>
        <v>0</v>
      </c>
      <c r="L155" s="222"/>
      <c r="M155" s="229"/>
      <c r="N155" s="229">
        <f>J155-G155</f>
        <v>0</v>
      </c>
      <c r="O155" s="230"/>
      <c r="P155" s="230"/>
      <c r="Q155" s="231"/>
      <c r="R155" s="192"/>
      <c r="S155" s="193"/>
      <c r="T155" s="194"/>
      <c r="U155" s="195"/>
      <c r="V155" s="196"/>
      <c r="W155" s="232"/>
      <c r="X155" s="233"/>
      <c r="Y155" s="199">
        <f t="shared" si="123"/>
        <v>0</v>
      </c>
      <c r="Z155" s="200">
        <f t="shared" si="111"/>
        <v>0</v>
      </c>
      <c r="AA155" s="193"/>
      <c r="AB155" s="194"/>
      <c r="AC155" s="195"/>
      <c r="AD155" s="201"/>
      <c r="AE155" s="234"/>
      <c r="AF155" s="233"/>
      <c r="AG155" s="199">
        <f t="shared" si="112"/>
        <v>0</v>
      </c>
      <c r="AH155" s="200">
        <f t="shared" si="113"/>
        <v>0</v>
      </c>
      <c r="AI155" s="203">
        <f t="shared" si="124"/>
        <v>0</v>
      </c>
      <c r="AJ155" s="204">
        <f t="shared" si="124"/>
        <v>0</v>
      </c>
      <c r="AK155" s="193"/>
      <c r="AL155" s="194"/>
      <c r="AM155" s="195"/>
      <c r="AN155" s="196"/>
      <c r="AO155" s="232"/>
      <c r="AP155" s="233"/>
      <c r="AQ155" s="205">
        <f t="shared" si="115"/>
        <v>0</v>
      </c>
      <c r="AR155" s="206">
        <f t="shared" si="116"/>
        <v>0</v>
      </c>
      <c r="AS155" s="193"/>
      <c r="AT155" s="194"/>
      <c r="AU155" s="195"/>
      <c r="AV155" s="196"/>
      <c r="AW155" s="232"/>
      <c r="AX155" s="233"/>
      <c r="AY155" s="205">
        <f t="shared" si="117"/>
        <v>0</v>
      </c>
      <c r="AZ155" s="206">
        <f t="shared" si="118"/>
        <v>0</v>
      </c>
      <c r="BA155" s="207">
        <f t="shared" si="125"/>
        <v>0</v>
      </c>
      <c r="BB155" s="204">
        <f t="shared" si="125"/>
        <v>0</v>
      </c>
      <c r="BC155" s="208">
        <f t="shared" si="126"/>
        <v>0</v>
      </c>
      <c r="BD155" s="209">
        <f t="shared" si="126"/>
        <v>0</v>
      </c>
      <c r="BE155" s="210">
        <f t="shared" si="127"/>
        <v>0</v>
      </c>
      <c r="BF155" s="211">
        <f t="shared" si="127"/>
        <v>0</v>
      </c>
      <c r="BG155" s="212">
        <f t="shared" si="128"/>
        <v>0</v>
      </c>
      <c r="BH155" s="213">
        <f t="shared" si="128"/>
        <v>0</v>
      </c>
    </row>
    <row r="156" spans="1:60" ht="21.6" hidden="1" thickBot="1" x14ac:dyDescent="0.35">
      <c r="A156" s="214" t="s">
        <v>532</v>
      </c>
      <c r="B156" s="228"/>
      <c r="C156" s="180"/>
      <c r="D156" s="215"/>
      <c r="E156" s="182"/>
      <c r="F156" s="183"/>
      <c r="G156" s="216"/>
      <c r="H156" s="217"/>
      <c r="I156" s="217"/>
      <c r="J156" s="218"/>
      <c r="K156" s="223">
        <f>I156-H156</f>
        <v>0</v>
      </c>
      <c r="L156" s="222"/>
      <c r="M156" s="229"/>
      <c r="N156" s="229">
        <f>J156-G156</f>
        <v>0</v>
      </c>
      <c r="O156" s="230"/>
      <c r="P156" s="230"/>
      <c r="Q156" s="231"/>
      <c r="R156" s="192"/>
      <c r="S156" s="193"/>
      <c r="T156" s="194"/>
      <c r="U156" s="195"/>
      <c r="V156" s="196"/>
      <c r="W156" s="232"/>
      <c r="X156" s="233"/>
      <c r="Y156" s="199">
        <f t="shared" si="123"/>
        <v>0</v>
      </c>
      <c r="Z156" s="200">
        <f t="shared" si="111"/>
        <v>0</v>
      </c>
      <c r="AA156" s="193"/>
      <c r="AB156" s="194"/>
      <c r="AC156" s="195"/>
      <c r="AD156" s="201"/>
      <c r="AE156" s="234"/>
      <c r="AF156" s="233"/>
      <c r="AG156" s="199">
        <f t="shared" si="112"/>
        <v>0</v>
      </c>
      <c r="AH156" s="200">
        <f t="shared" si="113"/>
        <v>0</v>
      </c>
      <c r="AI156" s="203">
        <f t="shared" si="124"/>
        <v>0</v>
      </c>
      <c r="AJ156" s="204">
        <f t="shared" si="124"/>
        <v>0</v>
      </c>
      <c r="AK156" s="193"/>
      <c r="AL156" s="194"/>
      <c r="AM156" s="195"/>
      <c r="AN156" s="196"/>
      <c r="AO156" s="232"/>
      <c r="AP156" s="233"/>
      <c r="AQ156" s="205">
        <f t="shared" si="115"/>
        <v>0</v>
      </c>
      <c r="AR156" s="206">
        <f t="shared" si="116"/>
        <v>0</v>
      </c>
      <c r="AS156" s="193"/>
      <c r="AT156" s="194"/>
      <c r="AU156" s="195"/>
      <c r="AV156" s="196"/>
      <c r="AW156" s="232"/>
      <c r="AX156" s="233"/>
      <c r="AY156" s="205">
        <f t="shared" si="117"/>
        <v>0</v>
      </c>
      <c r="AZ156" s="206">
        <f t="shared" si="118"/>
        <v>0</v>
      </c>
      <c r="BA156" s="207">
        <f t="shared" si="125"/>
        <v>0</v>
      </c>
      <c r="BB156" s="204">
        <f t="shared" si="125"/>
        <v>0</v>
      </c>
      <c r="BC156" s="208">
        <f t="shared" si="126"/>
        <v>0</v>
      </c>
      <c r="BD156" s="209">
        <f t="shared" si="126"/>
        <v>0</v>
      </c>
      <c r="BE156" s="210">
        <f t="shared" si="127"/>
        <v>0</v>
      </c>
      <c r="BF156" s="211">
        <f t="shared" si="127"/>
        <v>0</v>
      </c>
      <c r="BG156" s="212">
        <f t="shared" si="128"/>
        <v>0</v>
      </c>
      <c r="BH156" s="213">
        <f t="shared" si="128"/>
        <v>0</v>
      </c>
    </row>
    <row r="157" spans="1:60" ht="21.6" hidden="1" thickBot="1" x14ac:dyDescent="0.35">
      <c r="A157" s="235" t="s">
        <v>532</v>
      </c>
      <c r="B157" s="228"/>
      <c r="C157" s="180"/>
      <c r="D157" s="215"/>
      <c r="E157" s="182"/>
      <c r="F157" s="183"/>
      <c r="G157" s="236"/>
      <c r="H157" s="237"/>
      <c r="I157" s="237"/>
      <c r="J157" s="238"/>
      <c r="K157" s="223">
        <f>I157-H157</f>
        <v>0</v>
      </c>
      <c r="L157" s="222"/>
      <c r="M157" s="229"/>
      <c r="N157" s="229">
        <f>J157-G157</f>
        <v>0</v>
      </c>
      <c r="O157" s="230"/>
      <c r="P157" s="230"/>
      <c r="Q157" s="231"/>
      <c r="R157" s="192"/>
      <c r="S157" s="239"/>
      <c r="T157" s="240"/>
      <c r="U157" s="241"/>
      <c r="V157" s="242"/>
      <c r="W157" s="243"/>
      <c r="X157" s="244"/>
      <c r="Y157" s="245">
        <f t="shared" si="123"/>
        <v>0</v>
      </c>
      <c r="Z157" s="200">
        <f t="shared" si="111"/>
        <v>0</v>
      </c>
      <c r="AA157" s="239"/>
      <c r="AB157" s="240"/>
      <c r="AC157" s="241"/>
      <c r="AD157" s="246"/>
      <c r="AE157" s="247"/>
      <c r="AF157" s="244"/>
      <c r="AG157" s="245">
        <f t="shared" si="112"/>
        <v>0</v>
      </c>
      <c r="AH157" s="200">
        <f t="shared" si="113"/>
        <v>0</v>
      </c>
      <c r="AI157" s="248">
        <f t="shared" si="124"/>
        <v>0</v>
      </c>
      <c r="AJ157" s="249">
        <f t="shared" si="124"/>
        <v>0</v>
      </c>
      <c r="AK157" s="193"/>
      <c r="AL157" s="194"/>
      <c r="AM157" s="195"/>
      <c r="AN157" s="196"/>
      <c r="AO157" s="243"/>
      <c r="AP157" s="244"/>
      <c r="AQ157" s="205">
        <f t="shared" si="115"/>
        <v>0</v>
      </c>
      <c r="AR157" s="206">
        <f t="shared" si="116"/>
        <v>0</v>
      </c>
      <c r="AS157" s="193"/>
      <c r="AT157" s="194"/>
      <c r="AU157" s="195"/>
      <c r="AV157" s="196"/>
      <c r="AW157" s="243"/>
      <c r="AX157" s="244"/>
      <c r="AY157" s="205">
        <f t="shared" si="117"/>
        <v>0</v>
      </c>
      <c r="AZ157" s="206">
        <f t="shared" si="118"/>
        <v>0</v>
      </c>
      <c r="BA157" s="207">
        <f t="shared" si="125"/>
        <v>0</v>
      </c>
      <c r="BB157" s="204">
        <f t="shared" si="125"/>
        <v>0</v>
      </c>
      <c r="BC157" s="208">
        <f t="shared" si="126"/>
        <v>0</v>
      </c>
      <c r="BD157" s="209">
        <f t="shared" si="126"/>
        <v>0</v>
      </c>
      <c r="BE157" s="210">
        <f t="shared" si="127"/>
        <v>0</v>
      </c>
      <c r="BF157" s="211">
        <f t="shared" si="127"/>
        <v>0</v>
      </c>
      <c r="BG157" s="212">
        <f t="shared" si="128"/>
        <v>0</v>
      </c>
      <c r="BH157" s="213">
        <f t="shared" si="128"/>
        <v>0</v>
      </c>
    </row>
    <row r="158" spans="1:60" s="153" customFormat="1" ht="23.4" thickBot="1" x14ac:dyDescent="0.35">
      <c r="A158" s="317" t="s">
        <v>667</v>
      </c>
      <c r="B158" s="317" t="s">
        <v>667</v>
      </c>
      <c r="C158" s="324" t="s">
        <v>2</v>
      </c>
      <c r="D158" s="252" t="s">
        <v>668</v>
      </c>
      <c r="E158" s="318" t="s">
        <v>534</v>
      </c>
      <c r="F158" s="159" t="s">
        <v>5</v>
      </c>
      <c r="G158" s="160" t="s">
        <v>6</v>
      </c>
      <c r="H158" s="161" t="s">
        <v>7</v>
      </c>
      <c r="I158" s="161" t="s">
        <v>8</v>
      </c>
      <c r="J158" s="162" t="s">
        <v>9</v>
      </c>
      <c r="K158" s="163" t="s">
        <v>38</v>
      </c>
      <c r="L158" s="164" t="s">
        <v>38</v>
      </c>
      <c r="M158" s="165" t="s">
        <v>38</v>
      </c>
      <c r="N158" s="166" t="s">
        <v>38</v>
      </c>
      <c r="O158" s="165" t="s">
        <v>39</v>
      </c>
      <c r="P158" s="165" t="s">
        <v>39</v>
      </c>
      <c r="Q158" s="254" t="s">
        <v>39</v>
      </c>
      <c r="R158" s="319" t="s">
        <v>17</v>
      </c>
      <c r="S158" s="169">
        <f t="shared" ref="S158:X158" si="129">SUM(S159:S187)</f>
        <v>2990</v>
      </c>
      <c r="T158" s="170">
        <f t="shared" si="129"/>
        <v>132</v>
      </c>
      <c r="U158" s="171">
        <f t="shared" si="129"/>
        <v>2530</v>
      </c>
      <c r="V158" s="172">
        <f t="shared" si="129"/>
        <v>1122</v>
      </c>
      <c r="W158" s="173">
        <f t="shared" si="129"/>
        <v>0</v>
      </c>
      <c r="X158" s="174">
        <f t="shared" si="129"/>
        <v>22</v>
      </c>
      <c r="Y158" s="169">
        <f t="shared" si="123"/>
        <v>6796</v>
      </c>
      <c r="Z158" s="175">
        <f t="shared" si="111"/>
        <v>10470</v>
      </c>
      <c r="AA158" s="169">
        <f t="shared" ref="AA158:AF158" si="130">SUM(AA159:AA187)</f>
        <v>2113</v>
      </c>
      <c r="AB158" s="170">
        <f t="shared" si="130"/>
        <v>680</v>
      </c>
      <c r="AC158" s="171">
        <f t="shared" si="130"/>
        <v>2716</v>
      </c>
      <c r="AD158" s="320">
        <f t="shared" si="130"/>
        <v>583</v>
      </c>
      <c r="AE158" s="321">
        <f t="shared" si="130"/>
        <v>0</v>
      </c>
      <c r="AF158" s="174">
        <f t="shared" si="130"/>
        <v>163</v>
      </c>
      <c r="AG158" s="169">
        <f t="shared" si="112"/>
        <v>6255</v>
      </c>
      <c r="AH158" s="175">
        <f t="shared" si="113"/>
        <v>9717</v>
      </c>
      <c r="AI158" s="169">
        <f t="shared" si="124"/>
        <v>13051</v>
      </c>
      <c r="AJ158" s="175">
        <f t="shared" si="124"/>
        <v>20187</v>
      </c>
      <c r="AK158" s="169">
        <f t="shared" ref="AK158:AP158" si="131">SUM(AK159:AK187)</f>
        <v>0</v>
      </c>
      <c r="AL158" s="170">
        <f t="shared" si="131"/>
        <v>0</v>
      </c>
      <c r="AM158" s="171">
        <f t="shared" si="131"/>
        <v>99</v>
      </c>
      <c r="AN158" s="172">
        <f t="shared" si="131"/>
        <v>29</v>
      </c>
      <c r="AO158" s="173">
        <f t="shared" si="131"/>
        <v>0</v>
      </c>
      <c r="AP158" s="174">
        <f t="shared" si="131"/>
        <v>0</v>
      </c>
      <c r="AQ158" s="169">
        <f t="shared" si="115"/>
        <v>128</v>
      </c>
      <c r="AR158" s="170">
        <f t="shared" si="116"/>
        <v>256</v>
      </c>
      <c r="AS158" s="169">
        <f t="shared" ref="AS158:AX158" si="132">SUM(AS159:AS187)</f>
        <v>0</v>
      </c>
      <c r="AT158" s="170">
        <f t="shared" si="132"/>
        <v>0</v>
      </c>
      <c r="AU158" s="171">
        <f t="shared" si="132"/>
        <v>99</v>
      </c>
      <c r="AV158" s="320">
        <f t="shared" si="132"/>
        <v>29</v>
      </c>
      <c r="AW158" s="321">
        <f t="shared" si="132"/>
        <v>0</v>
      </c>
      <c r="AX158" s="174">
        <f t="shared" si="132"/>
        <v>0</v>
      </c>
      <c r="AY158" s="169">
        <f t="shared" si="117"/>
        <v>128</v>
      </c>
      <c r="AZ158" s="170">
        <f t="shared" si="118"/>
        <v>256</v>
      </c>
      <c r="BA158" s="169">
        <f t="shared" si="125"/>
        <v>256</v>
      </c>
      <c r="BB158" s="170">
        <f t="shared" si="125"/>
        <v>512</v>
      </c>
      <c r="BC158" s="169">
        <f t="shared" si="126"/>
        <v>6924</v>
      </c>
      <c r="BD158" s="170">
        <f t="shared" si="126"/>
        <v>10726</v>
      </c>
      <c r="BE158" s="169">
        <f t="shared" si="127"/>
        <v>6383</v>
      </c>
      <c r="BF158" s="176">
        <f t="shared" si="127"/>
        <v>9973</v>
      </c>
      <c r="BG158" s="169">
        <f t="shared" si="128"/>
        <v>13307</v>
      </c>
      <c r="BH158" s="170">
        <f t="shared" si="128"/>
        <v>20699</v>
      </c>
    </row>
    <row r="159" spans="1:60" ht="21" x14ac:dyDescent="0.3">
      <c r="A159" s="178" t="s">
        <v>667</v>
      </c>
      <c r="B159" s="306">
        <v>1</v>
      </c>
      <c r="C159" s="180">
        <v>1</v>
      </c>
      <c r="D159" s="215" t="s">
        <v>72</v>
      </c>
      <c r="E159" s="182" t="s">
        <v>669</v>
      </c>
      <c r="F159" s="183" t="s">
        <v>476</v>
      </c>
      <c r="G159" s="216" t="s">
        <v>670</v>
      </c>
      <c r="H159" s="217" t="s">
        <v>671</v>
      </c>
      <c r="I159" s="217" t="s">
        <v>672</v>
      </c>
      <c r="J159" s="218">
        <v>45809.4375</v>
      </c>
      <c r="K159" s="223">
        <f t="shared" ref="K159:K184" si="133">I159-H159</f>
        <v>0.65833333333284827</v>
      </c>
      <c r="L159" s="222">
        <v>0</v>
      </c>
      <c r="M159" s="189">
        <f t="shared" ref="M159:M184" si="134">K159-L159</f>
        <v>0.65833333333284827</v>
      </c>
      <c r="N159" s="189">
        <f t="shared" ref="N159:N184" si="135">J159-G159</f>
        <v>0.94791666666424135</v>
      </c>
      <c r="O159" s="190">
        <f t="shared" ref="O159:O184" si="136">BG159/M159/24</f>
        <v>47.151898734211954</v>
      </c>
      <c r="P159" s="190">
        <f t="shared" ref="P159:P184" si="137">BG159/K159/24</f>
        <v>47.151898734211954</v>
      </c>
      <c r="Q159" s="191">
        <f t="shared" ref="Q159:Q184" si="138">BG159/N159/24</f>
        <v>32.747252747336532</v>
      </c>
      <c r="R159" s="192" t="s">
        <v>57</v>
      </c>
      <c r="S159" s="193">
        <v>163</v>
      </c>
      <c r="T159" s="194">
        <v>0</v>
      </c>
      <c r="U159" s="195">
        <v>73</v>
      </c>
      <c r="V159" s="196">
        <v>10</v>
      </c>
      <c r="W159" s="219">
        <v>0</v>
      </c>
      <c r="X159" s="220">
        <v>0</v>
      </c>
      <c r="Y159" s="199">
        <f t="shared" si="123"/>
        <v>246</v>
      </c>
      <c r="Z159" s="200">
        <f t="shared" si="111"/>
        <v>329</v>
      </c>
      <c r="AA159" s="193">
        <v>114</v>
      </c>
      <c r="AB159" s="194">
        <v>20</v>
      </c>
      <c r="AC159" s="195">
        <v>103</v>
      </c>
      <c r="AD159" s="201">
        <v>200</v>
      </c>
      <c r="AE159" s="221">
        <v>0</v>
      </c>
      <c r="AF159" s="220">
        <v>0</v>
      </c>
      <c r="AG159" s="199">
        <f t="shared" si="112"/>
        <v>437</v>
      </c>
      <c r="AH159" s="200">
        <f t="shared" si="113"/>
        <v>740</v>
      </c>
      <c r="AI159" s="203">
        <f t="shared" si="124"/>
        <v>683</v>
      </c>
      <c r="AJ159" s="204">
        <f t="shared" si="124"/>
        <v>1069</v>
      </c>
      <c r="AK159" s="193">
        <v>0</v>
      </c>
      <c r="AL159" s="194">
        <v>0</v>
      </c>
      <c r="AM159" s="195">
        <v>31</v>
      </c>
      <c r="AN159" s="196">
        <v>0</v>
      </c>
      <c r="AO159" s="219">
        <v>0</v>
      </c>
      <c r="AP159" s="220">
        <v>0</v>
      </c>
      <c r="AQ159" s="205">
        <f t="shared" si="115"/>
        <v>31</v>
      </c>
      <c r="AR159" s="206">
        <f t="shared" si="116"/>
        <v>62</v>
      </c>
      <c r="AS159" s="193">
        <v>0</v>
      </c>
      <c r="AT159" s="194">
        <v>0</v>
      </c>
      <c r="AU159" s="195">
        <v>31</v>
      </c>
      <c r="AV159" s="196">
        <v>0</v>
      </c>
      <c r="AW159" s="219">
        <v>0</v>
      </c>
      <c r="AX159" s="220">
        <v>0</v>
      </c>
      <c r="AY159" s="205">
        <f t="shared" si="117"/>
        <v>31</v>
      </c>
      <c r="AZ159" s="206">
        <f t="shared" si="118"/>
        <v>62</v>
      </c>
      <c r="BA159" s="207">
        <f t="shared" si="125"/>
        <v>62</v>
      </c>
      <c r="BB159" s="204">
        <f t="shared" si="125"/>
        <v>124</v>
      </c>
      <c r="BC159" s="208">
        <f t="shared" si="126"/>
        <v>277</v>
      </c>
      <c r="BD159" s="209">
        <f t="shared" si="126"/>
        <v>391</v>
      </c>
      <c r="BE159" s="210">
        <f t="shared" si="127"/>
        <v>468</v>
      </c>
      <c r="BF159" s="211">
        <f t="shared" si="127"/>
        <v>802</v>
      </c>
      <c r="BG159" s="212">
        <f t="shared" si="128"/>
        <v>745</v>
      </c>
      <c r="BH159" s="213">
        <f t="shared" si="128"/>
        <v>1193</v>
      </c>
    </row>
    <row r="160" spans="1:60" ht="21" x14ac:dyDescent="0.3">
      <c r="A160" s="214" t="s">
        <v>667</v>
      </c>
      <c r="B160" s="306">
        <v>2</v>
      </c>
      <c r="C160" s="180">
        <v>2</v>
      </c>
      <c r="D160" s="215" t="s">
        <v>51</v>
      </c>
      <c r="E160" s="182" t="s">
        <v>673</v>
      </c>
      <c r="F160" s="183" t="s">
        <v>645</v>
      </c>
      <c r="G160" s="216" t="s">
        <v>674</v>
      </c>
      <c r="H160" s="217" t="s">
        <v>675</v>
      </c>
      <c r="I160" s="217" t="s">
        <v>676</v>
      </c>
      <c r="J160" s="218">
        <v>45809.458333333336</v>
      </c>
      <c r="K160" s="223">
        <f t="shared" si="133"/>
        <v>0.64097222222335404</v>
      </c>
      <c r="L160" s="222">
        <v>0</v>
      </c>
      <c r="M160" s="189">
        <f t="shared" si="134"/>
        <v>0.64097222222335404</v>
      </c>
      <c r="N160" s="189">
        <f t="shared" si="135"/>
        <v>0.70833333333575865</v>
      </c>
      <c r="O160" s="190">
        <f t="shared" si="136"/>
        <v>32.957746478815046</v>
      </c>
      <c r="P160" s="190">
        <f t="shared" si="137"/>
        <v>32.957746478815046</v>
      </c>
      <c r="Q160" s="191">
        <f t="shared" si="138"/>
        <v>29.823529411662591</v>
      </c>
      <c r="R160" s="192" t="s">
        <v>57</v>
      </c>
      <c r="S160" s="193">
        <v>71</v>
      </c>
      <c r="T160" s="194">
        <v>3</v>
      </c>
      <c r="U160" s="195">
        <v>60</v>
      </c>
      <c r="V160" s="196">
        <v>51</v>
      </c>
      <c r="W160" s="219">
        <v>0</v>
      </c>
      <c r="X160" s="220">
        <v>1</v>
      </c>
      <c r="Y160" s="199">
        <f t="shared" si="123"/>
        <v>186</v>
      </c>
      <c r="Z160" s="200">
        <f t="shared" si="111"/>
        <v>298</v>
      </c>
      <c r="AA160" s="193">
        <v>143</v>
      </c>
      <c r="AB160" s="194">
        <v>0</v>
      </c>
      <c r="AC160" s="195">
        <v>109</v>
      </c>
      <c r="AD160" s="201">
        <v>50</v>
      </c>
      <c r="AE160" s="221">
        <v>0</v>
      </c>
      <c r="AF160" s="220">
        <v>19</v>
      </c>
      <c r="AG160" s="199">
        <f t="shared" si="112"/>
        <v>321</v>
      </c>
      <c r="AH160" s="200">
        <f t="shared" si="113"/>
        <v>499</v>
      </c>
      <c r="AI160" s="203">
        <f t="shared" si="124"/>
        <v>507</v>
      </c>
      <c r="AJ160" s="204">
        <f t="shared" si="124"/>
        <v>797</v>
      </c>
      <c r="AK160" s="193">
        <v>0</v>
      </c>
      <c r="AL160" s="194">
        <v>0</v>
      </c>
      <c r="AM160" s="195">
        <v>0</v>
      </c>
      <c r="AN160" s="196">
        <v>0</v>
      </c>
      <c r="AO160" s="219">
        <v>0</v>
      </c>
      <c r="AP160" s="220">
        <v>0</v>
      </c>
      <c r="AQ160" s="205">
        <f t="shared" si="115"/>
        <v>0</v>
      </c>
      <c r="AR160" s="206">
        <f t="shared" si="116"/>
        <v>0</v>
      </c>
      <c r="AS160" s="193">
        <v>0</v>
      </c>
      <c r="AT160" s="194">
        <v>0</v>
      </c>
      <c r="AU160" s="195">
        <v>0</v>
      </c>
      <c r="AV160" s="196">
        <v>0</v>
      </c>
      <c r="AW160" s="219">
        <v>0</v>
      </c>
      <c r="AX160" s="220">
        <v>0</v>
      </c>
      <c r="AY160" s="205">
        <f t="shared" si="117"/>
        <v>0</v>
      </c>
      <c r="AZ160" s="206">
        <f t="shared" si="118"/>
        <v>0</v>
      </c>
      <c r="BA160" s="207">
        <f t="shared" si="125"/>
        <v>0</v>
      </c>
      <c r="BB160" s="204">
        <f t="shared" si="125"/>
        <v>0</v>
      </c>
      <c r="BC160" s="208">
        <f t="shared" si="126"/>
        <v>186</v>
      </c>
      <c r="BD160" s="209">
        <f t="shared" si="126"/>
        <v>298</v>
      </c>
      <c r="BE160" s="210">
        <f t="shared" si="127"/>
        <v>321</v>
      </c>
      <c r="BF160" s="211">
        <f t="shared" si="127"/>
        <v>499</v>
      </c>
      <c r="BG160" s="212">
        <f t="shared" si="128"/>
        <v>507</v>
      </c>
      <c r="BH160" s="213">
        <f t="shared" si="128"/>
        <v>797</v>
      </c>
    </row>
    <row r="161" spans="1:60" ht="21" x14ac:dyDescent="0.3">
      <c r="A161" s="214" t="s">
        <v>667</v>
      </c>
      <c r="B161" s="306">
        <v>1</v>
      </c>
      <c r="C161" s="180">
        <v>3</v>
      </c>
      <c r="D161" s="215" t="s">
        <v>65</v>
      </c>
      <c r="E161" s="182" t="s">
        <v>677</v>
      </c>
      <c r="F161" s="183" t="s">
        <v>678</v>
      </c>
      <c r="G161" s="216" t="s">
        <v>679</v>
      </c>
      <c r="H161" s="217" t="s">
        <v>680</v>
      </c>
      <c r="I161" s="217" t="s">
        <v>681</v>
      </c>
      <c r="J161" s="218">
        <v>45811.579861111109</v>
      </c>
      <c r="K161" s="223">
        <f t="shared" si="133"/>
        <v>0.45486111110949423</v>
      </c>
      <c r="L161" s="222">
        <v>0</v>
      </c>
      <c r="M161" s="189">
        <f t="shared" si="134"/>
        <v>0.45486111110949423</v>
      </c>
      <c r="N161" s="189">
        <f t="shared" si="135"/>
        <v>0.47222222221898846</v>
      </c>
      <c r="O161" s="190">
        <f t="shared" si="136"/>
        <v>52.213740458200874</v>
      </c>
      <c r="P161" s="190">
        <f t="shared" si="137"/>
        <v>52.213740458200874</v>
      </c>
      <c r="Q161" s="191">
        <f t="shared" si="138"/>
        <v>50.294117647403233</v>
      </c>
      <c r="R161" s="192" t="s">
        <v>71</v>
      </c>
      <c r="S161" s="193">
        <v>122</v>
      </c>
      <c r="T161" s="194">
        <v>1</v>
      </c>
      <c r="U161" s="195">
        <v>155</v>
      </c>
      <c r="V161" s="196">
        <v>22</v>
      </c>
      <c r="W161" s="219">
        <v>0</v>
      </c>
      <c r="X161" s="220">
        <v>2</v>
      </c>
      <c r="Y161" s="199">
        <f t="shared" ref="Y161:Y176" si="139">SUM(S161:X161)</f>
        <v>302</v>
      </c>
      <c r="Z161" s="200">
        <f t="shared" si="111"/>
        <v>481</v>
      </c>
      <c r="AA161" s="193">
        <v>72</v>
      </c>
      <c r="AB161" s="194">
        <v>30</v>
      </c>
      <c r="AC161" s="195">
        <v>116</v>
      </c>
      <c r="AD161" s="201">
        <v>46</v>
      </c>
      <c r="AE161" s="221">
        <v>0</v>
      </c>
      <c r="AF161" s="220">
        <v>4</v>
      </c>
      <c r="AG161" s="199">
        <f t="shared" si="112"/>
        <v>268</v>
      </c>
      <c r="AH161" s="200">
        <f t="shared" si="113"/>
        <v>434</v>
      </c>
      <c r="AI161" s="203">
        <f t="shared" si="124"/>
        <v>570</v>
      </c>
      <c r="AJ161" s="204">
        <f t="shared" si="124"/>
        <v>915</v>
      </c>
      <c r="AK161" s="193">
        <v>0</v>
      </c>
      <c r="AL161" s="194">
        <v>0</v>
      </c>
      <c r="AM161" s="195">
        <v>0</v>
      </c>
      <c r="AN161" s="196">
        <v>0</v>
      </c>
      <c r="AO161" s="219">
        <v>0</v>
      </c>
      <c r="AP161" s="220">
        <v>0</v>
      </c>
      <c r="AQ161" s="205">
        <f t="shared" si="115"/>
        <v>0</v>
      </c>
      <c r="AR161" s="206">
        <f t="shared" si="116"/>
        <v>0</v>
      </c>
      <c r="AS161" s="193">
        <v>0</v>
      </c>
      <c r="AT161" s="194">
        <v>0</v>
      </c>
      <c r="AU161" s="195">
        <v>0</v>
      </c>
      <c r="AV161" s="196">
        <v>0</v>
      </c>
      <c r="AW161" s="219">
        <v>0</v>
      </c>
      <c r="AX161" s="220">
        <v>0</v>
      </c>
      <c r="AY161" s="205">
        <f t="shared" si="117"/>
        <v>0</v>
      </c>
      <c r="AZ161" s="206">
        <f t="shared" si="118"/>
        <v>0</v>
      </c>
      <c r="BA161" s="207">
        <f t="shared" si="125"/>
        <v>0</v>
      </c>
      <c r="BB161" s="204">
        <f t="shared" si="125"/>
        <v>0</v>
      </c>
      <c r="BC161" s="208">
        <f t="shared" si="126"/>
        <v>302</v>
      </c>
      <c r="BD161" s="209">
        <f t="shared" si="126"/>
        <v>481</v>
      </c>
      <c r="BE161" s="210">
        <f t="shared" si="127"/>
        <v>268</v>
      </c>
      <c r="BF161" s="211">
        <f t="shared" si="127"/>
        <v>434</v>
      </c>
      <c r="BG161" s="212">
        <f t="shared" si="128"/>
        <v>570</v>
      </c>
      <c r="BH161" s="213">
        <f t="shared" si="128"/>
        <v>915</v>
      </c>
    </row>
    <row r="162" spans="1:60" ht="21" x14ac:dyDescent="0.3">
      <c r="A162" s="214" t="s">
        <v>667</v>
      </c>
      <c r="B162" s="306">
        <v>1</v>
      </c>
      <c r="C162" s="180">
        <v>4</v>
      </c>
      <c r="D162" s="215" t="s">
        <v>43</v>
      </c>
      <c r="E162" s="182" t="s">
        <v>682</v>
      </c>
      <c r="F162" s="183" t="s">
        <v>683</v>
      </c>
      <c r="G162" s="216" t="s">
        <v>684</v>
      </c>
      <c r="H162" s="217" t="s">
        <v>685</v>
      </c>
      <c r="I162" s="217" t="s">
        <v>686</v>
      </c>
      <c r="J162" s="218">
        <v>45812.1875</v>
      </c>
      <c r="K162" s="223">
        <f t="shared" si="133"/>
        <v>0.87361111111385981</v>
      </c>
      <c r="L162" s="222">
        <v>0.26736111110221827</v>
      </c>
      <c r="M162" s="189">
        <f t="shared" si="134"/>
        <v>0.60625000001164153</v>
      </c>
      <c r="N162" s="189">
        <f t="shared" si="135"/>
        <v>0.94444444444525288</v>
      </c>
      <c r="O162" s="190">
        <f t="shared" si="136"/>
        <v>37.869415806832947</v>
      </c>
      <c r="P162" s="190">
        <f t="shared" si="137"/>
        <v>26.279809220903005</v>
      </c>
      <c r="Q162" s="191">
        <f t="shared" si="138"/>
        <v>24.30882352939096</v>
      </c>
      <c r="R162" s="192" t="s">
        <v>50</v>
      </c>
      <c r="S162" s="193">
        <v>111</v>
      </c>
      <c r="T162" s="194">
        <v>0</v>
      </c>
      <c r="U162" s="195">
        <v>106</v>
      </c>
      <c r="V162" s="196">
        <v>70</v>
      </c>
      <c r="W162" s="219">
        <v>0</v>
      </c>
      <c r="X162" s="220">
        <v>0</v>
      </c>
      <c r="Y162" s="199">
        <f t="shared" si="139"/>
        <v>287</v>
      </c>
      <c r="Z162" s="200">
        <f t="shared" si="111"/>
        <v>463</v>
      </c>
      <c r="AA162" s="193">
        <v>96</v>
      </c>
      <c r="AB162" s="194">
        <v>0</v>
      </c>
      <c r="AC162" s="195">
        <v>123</v>
      </c>
      <c r="AD162" s="201">
        <v>45</v>
      </c>
      <c r="AE162" s="221">
        <v>0</v>
      </c>
      <c r="AF162" s="220">
        <v>0</v>
      </c>
      <c r="AG162" s="199">
        <f t="shared" si="112"/>
        <v>264</v>
      </c>
      <c r="AH162" s="200">
        <f t="shared" si="113"/>
        <v>432</v>
      </c>
      <c r="AI162" s="203">
        <f t="shared" ref="AI162:AJ177" si="140">Y162+AG162</f>
        <v>551</v>
      </c>
      <c r="AJ162" s="204">
        <f t="shared" si="140"/>
        <v>895</v>
      </c>
      <c r="AK162" s="193">
        <v>0</v>
      </c>
      <c r="AL162" s="194">
        <v>0</v>
      </c>
      <c r="AM162" s="195">
        <v>0</v>
      </c>
      <c r="AN162" s="196">
        <v>0</v>
      </c>
      <c r="AO162" s="219">
        <v>0</v>
      </c>
      <c r="AP162" s="220">
        <v>0</v>
      </c>
      <c r="AQ162" s="205">
        <f t="shared" si="115"/>
        <v>0</v>
      </c>
      <c r="AR162" s="206">
        <f t="shared" si="116"/>
        <v>0</v>
      </c>
      <c r="AS162" s="193">
        <v>0</v>
      </c>
      <c r="AT162" s="194">
        <v>0</v>
      </c>
      <c r="AU162" s="195">
        <v>0</v>
      </c>
      <c r="AV162" s="196">
        <v>0</v>
      </c>
      <c r="AW162" s="219">
        <v>0</v>
      </c>
      <c r="AX162" s="220">
        <v>0</v>
      </c>
      <c r="AY162" s="205">
        <f t="shared" si="117"/>
        <v>0</v>
      </c>
      <c r="AZ162" s="206">
        <f t="shared" si="118"/>
        <v>0</v>
      </c>
      <c r="BA162" s="207">
        <f t="shared" ref="BA162:BB177" si="141">AQ162+AY162</f>
        <v>0</v>
      </c>
      <c r="BB162" s="204">
        <f t="shared" si="141"/>
        <v>0</v>
      </c>
      <c r="BC162" s="208">
        <f t="shared" ref="BC162:BD177" si="142">Y162+AQ162</f>
        <v>287</v>
      </c>
      <c r="BD162" s="209">
        <f t="shared" si="142"/>
        <v>463</v>
      </c>
      <c r="BE162" s="210">
        <f t="shared" ref="BE162:BF177" si="143">AG162+AY162</f>
        <v>264</v>
      </c>
      <c r="BF162" s="211">
        <f t="shared" si="143"/>
        <v>432</v>
      </c>
      <c r="BG162" s="212">
        <f t="shared" ref="BG162:BH177" si="144">BC162+BE162</f>
        <v>551</v>
      </c>
      <c r="BH162" s="213">
        <f t="shared" si="144"/>
        <v>895</v>
      </c>
    </row>
    <row r="163" spans="1:60" ht="21" x14ac:dyDescent="0.3">
      <c r="A163" s="214" t="s">
        <v>667</v>
      </c>
      <c r="B163" s="306">
        <v>3</v>
      </c>
      <c r="C163" s="180">
        <v>5</v>
      </c>
      <c r="D163" s="215" t="s">
        <v>231</v>
      </c>
      <c r="E163" s="182" t="s">
        <v>687</v>
      </c>
      <c r="F163" s="183" t="s">
        <v>543</v>
      </c>
      <c r="G163" s="216" t="s">
        <v>688</v>
      </c>
      <c r="H163" s="217" t="s">
        <v>689</v>
      </c>
      <c r="I163" s="217" t="s">
        <v>690</v>
      </c>
      <c r="J163" s="218">
        <v>45813.875</v>
      </c>
      <c r="K163" s="223">
        <f t="shared" si="133"/>
        <v>0.45972222222189885</v>
      </c>
      <c r="L163" s="222">
        <v>0</v>
      </c>
      <c r="M163" s="189">
        <f t="shared" si="134"/>
        <v>0.45972222222189885</v>
      </c>
      <c r="N163" s="189">
        <f t="shared" si="135"/>
        <v>0.53125</v>
      </c>
      <c r="O163" s="190">
        <f t="shared" si="136"/>
        <v>47.039274924504383</v>
      </c>
      <c r="P163" s="190">
        <f t="shared" si="137"/>
        <v>47.039274924504383</v>
      </c>
      <c r="Q163" s="191">
        <f t="shared" si="138"/>
        <v>40.705882352941181</v>
      </c>
      <c r="R163" s="192" t="s">
        <v>57</v>
      </c>
      <c r="S163" s="193">
        <v>136</v>
      </c>
      <c r="T163" s="194">
        <v>0</v>
      </c>
      <c r="U163" s="195">
        <v>66</v>
      </c>
      <c r="V163" s="196">
        <v>31</v>
      </c>
      <c r="W163" s="219">
        <v>0</v>
      </c>
      <c r="X163" s="220">
        <v>0</v>
      </c>
      <c r="Y163" s="199">
        <f t="shared" si="139"/>
        <v>233</v>
      </c>
      <c r="Z163" s="200">
        <f t="shared" si="111"/>
        <v>330</v>
      </c>
      <c r="AA163" s="193">
        <v>97</v>
      </c>
      <c r="AB163" s="194">
        <v>0</v>
      </c>
      <c r="AC163" s="195">
        <v>107</v>
      </c>
      <c r="AD163" s="201">
        <v>0</v>
      </c>
      <c r="AE163" s="221">
        <v>0</v>
      </c>
      <c r="AF163" s="220">
        <v>14</v>
      </c>
      <c r="AG163" s="199">
        <f t="shared" si="112"/>
        <v>218</v>
      </c>
      <c r="AH163" s="200">
        <f t="shared" si="113"/>
        <v>339</v>
      </c>
      <c r="AI163" s="203">
        <f t="shared" si="140"/>
        <v>451</v>
      </c>
      <c r="AJ163" s="204">
        <f t="shared" si="140"/>
        <v>669</v>
      </c>
      <c r="AK163" s="193">
        <v>0</v>
      </c>
      <c r="AL163" s="194">
        <v>0</v>
      </c>
      <c r="AM163" s="195">
        <v>5</v>
      </c>
      <c r="AN163" s="196">
        <v>29</v>
      </c>
      <c r="AO163" s="219">
        <v>0</v>
      </c>
      <c r="AP163" s="220">
        <v>0</v>
      </c>
      <c r="AQ163" s="205">
        <f t="shared" si="115"/>
        <v>34</v>
      </c>
      <c r="AR163" s="206">
        <f t="shared" si="116"/>
        <v>68</v>
      </c>
      <c r="AS163" s="193">
        <v>0</v>
      </c>
      <c r="AT163" s="194">
        <v>0</v>
      </c>
      <c r="AU163" s="195">
        <v>5</v>
      </c>
      <c r="AV163" s="196">
        <v>29</v>
      </c>
      <c r="AW163" s="219">
        <v>0</v>
      </c>
      <c r="AX163" s="220">
        <v>0</v>
      </c>
      <c r="AY163" s="205">
        <f t="shared" si="117"/>
        <v>34</v>
      </c>
      <c r="AZ163" s="206">
        <f t="shared" si="118"/>
        <v>68</v>
      </c>
      <c r="BA163" s="207">
        <f t="shared" si="141"/>
        <v>68</v>
      </c>
      <c r="BB163" s="204">
        <f t="shared" si="141"/>
        <v>136</v>
      </c>
      <c r="BC163" s="208">
        <f t="shared" si="142"/>
        <v>267</v>
      </c>
      <c r="BD163" s="209">
        <f t="shared" si="142"/>
        <v>398</v>
      </c>
      <c r="BE163" s="210">
        <f t="shared" si="143"/>
        <v>252</v>
      </c>
      <c r="BF163" s="211">
        <f t="shared" si="143"/>
        <v>407</v>
      </c>
      <c r="BG163" s="212">
        <f t="shared" si="144"/>
        <v>519</v>
      </c>
      <c r="BH163" s="213">
        <f t="shared" si="144"/>
        <v>805</v>
      </c>
    </row>
    <row r="164" spans="1:60" ht="21" x14ac:dyDescent="0.3">
      <c r="A164" s="214" t="s">
        <v>667</v>
      </c>
      <c r="B164" s="306">
        <v>2</v>
      </c>
      <c r="C164" s="180">
        <v>6</v>
      </c>
      <c r="D164" s="215" t="s">
        <v>79</v>
      </c>
      <c r="E164" s="182" t="s">
        <v>691</v>
      </c>
      <c r="F164" s="183" t="s">
        <v>678</v>
      </c>
      <c r="G164" s="216" t="s">
        <v>692</v>
      </c>
      <c r="H164" s="217" t="s">
        <v>693</v>
      </c>
      <c r="I164" s="217" t="s">
        <v>694</v>
      </c>
      <c r="J164" s="218">
        <v>45815.895833333336</v>
      </c>
      <c r="K164" s="223">
        <f t="shared" si="133"/>
        <v>0.47430555555183673</v>
      </c>
      <c r="L164" s="222">
        <v>6.9444444444444198E-3</v>
      </c>
      <c r="M164" s="189">
        <f t="shared" si="134"/>
        <v>0.46736111110739231</v>
      </c>
      <c r="N164" s="189">
        <f t="shared" si="135"/>
        <v>0.60416666667151731</v>
      </c>
      <c r="O164" s="190">
        <f t="shared" si="136"/>
        <v>51.797919762670695</v>
      </c>
      <c r="P164" s="190">
        <f t="shared" si="137"/>
        <v>51.039531479170307</v>
      </c>
      <c r="Q164" s="191">
        <f t="shared" si="138"/>
        <v>40.068965516919683</v>
      </c>
      <c r="R164" s="192" t="s">
        <v>71</v>
      </c>
      <c r="S164" s="193">
        <v>129</v>
      </c>
      <c r="T164" s="194">
        <v>0</v>
      </c>
      <c r="U164" s="195">
        <v>160</v>
      </c>
      <c r="V164" s="196">
        <v>19</v>
      </c>
      <c r="W164" s="219">
        <v>0</v>
      </c>
      <c r="X164" s="220">
        <v>2</v>
      </c>
      <c r="Y164" s="199">
        <f t="shared" si="139"/>
        <v>310</v>
      </c>
      <c r="Z164" s="200">
        <f t="shared" si="111"/>
        <v>491</v>
      </c>
      <c r="AA164" s="193">
        <v>87</v>
      </c>
      <c r="AB164" s="194">
        <v>33</v>
      </c>
      <c r="AC164" s="195">
        <v>144</v>
      </c>
      <c r="AD164" s="201">
        <v>2</v>
      </c>
      <c r="AE164" s="221">
        <v>0</v>
      </c>
      <c r="AF164" s="220">
        <v>5</v>
      </c>
      <c r="AG164" s="199">
        <f t="shared" si="112"/>
        <v>271</v>
      </c>
      <c r="AH164" s="200">
        <f t="shared" si="113"/>
        <v>422</v>
      </c>
      <c r="AI164" s="203">
        <f t="shared" si="140"/>
        <v>581</v>
      </c>
      <c r="AJ164" s="204">
        <f t="shared" si="140"/>
        <v>913</v>
      </c>
      <c r="AK164" s="193">
        <v>0</v>
      </c>
      <c r="AL164" s="194">
        <v>0</v>
      </c>
      <c r="AM164" s="195">
        <v>0</v>
      </c>
      <c r="AN164" s="196">
        <v>0</v>
      </c>
      <c r="AO164" s="219">
        <v>0</v>
      </c>
      <c r="AP164" s="220">
        <v>0</v>
      </c>
      <c r="AQ164" s="205">
        <f t="shared" si="115"/>
        <v>0</v>
      </c>
      <c r="AR164" s="206">
        <f t="shared" si="116"/>
        <v>0</v>
      </c>
      <c r="AS164" s="193">
        <v>0</v>
      </c>
      <c r="AT164" s="194">
        <v>0</v>
      </c>
      <c r="AU164" s="195">
        <v>0</v>
      </c>
      <c r="AV164" s="196">
        <v>0</v>
      </c>
      <c r="AW164" s="219">
        <v>0</v>
      </c>
      <c r="AX164" s="220">
        <v>0</v>
      </c>
      <c r="AY164" s="205">
        <f t="shared" si="117"/>
        <v>0</v>
      </c>
      <c r="AZ164" s="206">
        <f t="shared" si="118"/>
        <v>0</v>
      </c>
      <c r="BA164" s="207">
        <f t="shared" si="141"/>
        <v>0</v>
      </c>
      <c r="BB164" s="204">
        <f t="shared" si="141"/>
        <v>0</v>
      </c>
      <c r="BC164" s="208">
        <f t="shared" si="142"/>
        <v>310</v>
      </c>
      <c r="BD164" s="209">
        <f t="shared" si="142"/>
        <v>491</v>
      </c>
      <c r="BE164" s="210">
        <f t="shared" si="143"/>
        <v>271</v>
      </c>
      <c r="BF164" s="211">
        <f t="shared" si="143"/>
        <v>422</v>
      </c>
      <c r="BG164" s="212">
        <f t="shared" si="144"/>
        <v>581</v>
      </c>
      <c r="BH164" s="213">
        <f t="shared" si="144"/>
        <v>913</v>
      </c>
    </row>
    <row r="165" spans="1:60" ht="21" x14ac:dyDescent="0.3">
      <c r="A165" s="214" t="s">
        <v>667</v>
      </c>
      <c r="B165" s="306">
        <v>4</v>
      </c>
      <c r="C165" s="180">
        <v>7</v>
      </c>
      <c r="D165" s="215" t="s">
        <v>72</v>
      </c>
      <c r="E165" s="182" t="s">
        <v>695</v>
      </c>
      <c r="F165" s="183" t="s">
        <v>507</v>
      </c>
      <c r="G165" s="216" t="s">
        <v>696</v>
      </c>
      <c r="H165" s="217" t="s">
        <v>697</v>
      </c>
      <c r="I165" s="217" t="s">
        <v>698</v>
      </c>
      <c r="J165" s="218">
        <v>45818.208333333336</v>
      </c>
      <c r="K165" s="223">
        <f t="shared" si="133"/>
        <v>0.29513888889050577</v>
      </c>
      <c r="L165" s="222">
        <v>0</v>
      </c>
      <c r="M165" s="189">
        <f t="shared" si="134"/>
        <v>0.29513888889050577</v>
      </c>
      <c r="N165" s="189">
        <f t="shared" si="135"/>
        <v>1.7708333333357587</v>
      </c>
      <c r="O165" s="190">
        <f t="shared" si="136"/>
        <v>24.141176470455978</v>
      </c>
      <c r="P165" s="190">
        <f t="shared" si="137"/>
        <v>24.141176470455978</v>
      </c>
      <c r="Q165" s="191">
        <f t="shared" si="138"/>
        <v>4.0235294117591955</v>
      </c>
      <c r="R165" s="192" t="s">
        <v>57</v>
      </c>
      <c r="S165" s="193">
        <v>44</v>
      </c>
      <c r="T165" s="194">
        <v>0</v>
      </c>
      <c r="U165" s="195">
        <v>24</v>
      </c>
      <c r="V165" s="196">
        <v>25</v>
      </c>
      <c r="W165" s="219">
        <v>0</v>
      </c>
      <c r="X165" s="220">
        <v>0</v>
      </c>
      <c r="Y165" s="199">
        <f t="shared" si="139"/>
        <v>93</v>
      </c>
      <c r="Z165" s="200">
        <f t="shared" si="111"/>
        <v>142</v>
      </c>
      <c r="AA165" s="193">
        <v>74</v>
      </c>
      <c r="AB165" s="194">
        <v>0</v>
      </c>
      <c r="AC165" s="195">
        <v>4</v>
      </c>
      <c r="AD165" s="201">
        <v>0</v>
      </c>
      <c r="AE165" s="221">
        <v>0</v>
      </c>
      <c r="AF165" s="220">
        <v>0</v>
      </c>
      <c r="AG165" s="199">
        <f t="shared" si="112"/>
        <v>78</v>
      </c>
      <c r="AH165" s="200">
        <f t="shared" si="113"/>
        <v>82</v>
      </c>
      <c r="AI165" s="203">
        <f t="shared" si="140"/>
        <v>171</v>
      </c>
      <c r="AJ165" s="204">
        <f t="shared" si="140"/>
        <v>224</v>
      </c>
      <c r="AK165" s="193">
        <v>0</v>
      </c>
      <c r="AL165" s="194">
        <v>0</v>
      </c>
      <c r="AM165" s="195">
        <v>0</v>
      </c>
      <c r="AN165" s="196">
        <v>0</v>
      </c>
      <c r="AO165" s="219">
        <v>0</v>
      </c>
      <c r="AP165" s="220">
        <v>0</v>
      </c>
      <c r="AQ165" s="205">
        <f t="shared" si="115"/>
        <v>0</v>
      </c>
      <c r="AR165" s="206">
        <f t="shared" si="116"/>
        <v>0</v>
      </c>
      <c r="AS165" s="193">
        <v>0</v>
      </c>
      <c r="AT165" s="194">
        <v>0</v>
      </c>
      <c r="AU165" s="195">
        <v>0</v>
      </c>
      <c r="AV165" s="196">
        <v>0</v>
      </c>
      <c r="AW165" s="219">
        <v>0</v>
      </c>
      <c r="AX165" s="220">
        <v>0</v>
      </c>
      <c r="AY165" s="205">
        <f t="shared" si="117"/>
        <v>0</v>
      </c>
      <c r="AZ165" s="206">
        <f t="shared" si="118"/>
        <v>0</v>
      </c>
      <c r="BA165" s="207">
        <f t="shared" si="141"/>
        <v>0</v>
      </c>
      <c r="BB165" s="204">
        <f t="shared" si="141"/>
        <v>0</v>
      </c>
      <c r="BC165" s="208">
        <f t="shared" si="142"/>
        <v>93</v>
      </c>
      <c r="BD165" s="209">
        <f t="shared" si="142"/>
        <v>142</v>
      </c>
      <c r="BE165" s="210">
        <f t="shared" si="143"/>
        <v>78</v>
      </c>
      <c r="BF165" s="211">
        <f t="shared" si="143"/>
        <v>82</v>
      </c>
      <c r="BG165" s="212">
        <f t="shared" si="144"/>
        <v>171</v>
      </c>
      <c r="BH165" s="213">
        <f t="shared" si="144"/>
        <v>224</v>
      </c>
    </row>
    <row r="166" spans="1:60" ht="21" x14ac:dyDescent="0.3">
      <c r="A166" s="214" t="s">
        <v>667</v>
      </c>
      <c r="B166" s="306">
        <v>5</v>
      </c>
      <c r="C166" s="180">
        <v>8</v>
      </c>
      <c r="D166" s="215" t="s">
        <v>51</v>
      </c>
      <c r="E166" s="182" t="s">
        <v>699</v>
      </c>
      <c r="F166" s="183" t="s">
        <v>678</v>
      </c>
      <c r="G166" s="216" t="s">
        <v>700</v>
      </c>
      <c r="H166" s="217" t="s">
        <v>701</v>
      </c>
      <c r="I166" s="217" t="s">
        <v>702</v>
      </c>
      <c r="J166" s="218">
        <v>45817.208333333336</v>
      </c>
      <c r="K166" s="223">
        <f t="shared" si="133"/>
        <v>0.77569444444088731</v>
      </c>
      <c r="L166" s="222">
        <v>0</v>
      </c>
      <c r="M166" s="189">
        <f t="shared" si="134"/>
        <v>0.77569444444088731</v>
      </c>
      <c r="N166" s="189">
        <f t="shared" si="135"/>
        <v>1.0381944444452529</v>
      </c>
      <c r="O166" s="190">
        <f t="shared" si="136"/>
        <v>29.758281110252849</v>
      </c>
      <c r="P166" s="190">
        <f t="shared" si="137"/>
        <v>29.758281110252849</v>
      </c>
      <c r="Q166" s="191">
        <f t="shared" si="138"/>
        <v>22.234113712357267</v>
      </c>
      <c r="R166" s="192" t="s">
        <v>57</v>
      </c>
      <c r="S166" s="193">
        <v>171</v>
      </c>
      <c r="T166" s="194">
        <v>0</v>
      </c>
      <c r="U166" s="195">
        <v>83</v>
      </c>
      <c r="V166" s="196">
        <v>34</v>
      </c>
      <c r="W166" s="219">
        <v>0</v>
      </c>
      <c r="X166" s="220">
        <v>0</v>
      </c>
      <c r="Y166" s="199">
        <f t="shared" si="139"/>
        <v>288</v>
      </c>
      <c r="Z166" s="200">
        <f t="shared" si="111"/>
        <v>405</v>
      </c>
      <c r="AA166" s="193">
        <v>70</v>
      </c>
      <c r="AB166" s="194">
        <v>30</v>
      </c>
      <c r="AC166" s="195">
        <v>153</v>
      </c>
      <c r="AD166" s="201">
        <v>0</v>
      </c>
      <c r="AE166" s="221">
        <v>0</v>
      </c>
      <c r="AF166" s="220">
        <v>13</v>
      </c>
      <c r="AG166" s="199">
        <f t="shared" si="112"/>
        <v>266</v>
      </c>
      <c r="AH166" s="200">
        <f t="shared" si="113"/>
        <v>432</v>
      </c>
      <c r="AI166" s="203">
        <f t="shared" si="140"/>
        <v>554</v>
      </c>
      <c r="AJ166" s="204">
        <f t="shared" si="140"/>
        <v>837</v>
      </c>
      <c r="AK166" s="193">
        <v>0</v>
      </c>
      <c r="AL166" s="194">
        <v>0</v>
      </c>
      <c r="AM166" s="195">
        <v>0</v>
      </c>
      <c r="AN166" s="196">
        <v>0</v>
      </c>
      <c r="AO166" s="219">
        <v>0</v>
      </c>
      <c r="AP166" s="220">
        <v>0</v>
      </c>
      <c r="AQ166" s="205">
        <f t="shared" si="115"/>
        <v>0</v>
      </c>
      <c r="AR166" s="206">
        <f t="shared" si="116"/>
        <v>0</v>
      </c>
      <c r="AS166" s="193">
        <v>0</v>
      </c>
      <c r="AT166" s="194">
        <v>0</v>
      </c>
      <c r="AU166" s="195">
        <v>0</v>
      </c>
      <c r="AV166" s="196">
        <v>0</v>
      </c>
      <c r="AW166" s="219">
        <v>0</v>
      </c>
      <c r="AX166" s="220">
        <v>0</v>
      </c>
      <c r="AY166" s="205">
        <f t="shared" si="117"/>
        <v>0</v>
      </c>
      <c r="AZ166" s="206">
        <f t="shared" si="118"/>
        <v>0</v>
      </c>
      <c r="BA166" s="207">
        <f t="shared" si="141"/>
        <v>0</v>
      </c>
      <c r="BB166" s="204">
        <f t="shared" si="141"/>
        <v>0</v>
      </c>
      <c r="BC166" s="208">
        <f t="shared" si="142"/>
        <v>288</v>
      </c>
      <c r="BD166" s="209">
        <f t="shared" si="142"/>
        <v>405</v>
      </c>
      <c r="BE166" s="210">
        <f t="shared" si="143"/>
        <v>266</v>
      </c>
      <c r="BF166" s="211">
        <f t="shared" si="143"/>
        <v>432</v>
      </c>
      <c r="BG166" s="212">
        <f t="shared" si="144"/>
        <v>554</v>
      </c>
      <c r="BH166" s="213">
        <f t="shared" si="144"/>
        <v>837</v>
      </c>
    </row>
    <row r="167" spans="1:60" ht="21" x14ac:dyDescent="0.3">
      <c r="A167" s="214" t="s">
        <v>667</v>
      </c>
      <c r="B167" s="306">
        <v>3</v>
      </c>
      <c r="C167" s="180">
        <v>9</v>
      </c>
      <c r="D167" s="215" t="s">
        <v>65</v>
      </c>
      <c r="E167" s="182" t="s">
        <v>703</v>
      </c>
      <c r="F167" s="183" t="s">
        <v>704</v>
      </c>
      <c r="G167" s="216" t="s">
        <v>705</v>
      </c>
      <c r="H167" s="217" t="s">
        <v>706</v>
      </c>
      <c r="I167" s="217" t="s">
        <v>707</v>
      </c>
      <c r="J167" s="218">
        <v>45818.958333333336</v>
      </c>
      <c r="K167" s="223">
        <f t="shared" si="133"/>
        <v>0.63541666666424135</v>
      </c>
      <c r="L167" s="222">
        <v>4.5138888890505768E-2</v>
      </c>
      <c r="M167" s="189">
        <f t="shared" si="134"/>
        <v>0.59027777777373558</v>
      </c>
      <c r="N167" s="189">
        <f t="shared" si="135"/>
        <v>0.65972222222626442</v>
      </c>
      <c r="O167" s="190">
        <f t="shared" si="136"/>
        <v>39.458823529681979</v>
      </c>
      <c r="P167" s="190">
        <f t="shared" si="137"/>
        <v>36.655737705057945</v>
      </c>
      <c r="Q167" s="191">
        <f t="shared" si="138"/>
        <v>35.305263157678418</v>
      </c>
      <c r="R167" s="192" t="s">
        <v>71</v>
      </c>
      <c r="S167" s="193">
        <v>123</v>
      </c>
      <c r="T167" s="194">
        <v>2</v>
      </c>
      <c r="U167" s="195">
        <v>134</v>
      </c>
      <c r="V167" s="196">
        <v>32</v>
      </c>
      <c r="W167" s="219">
        <v>0</v>
      </c>
      <c r="X167" s="220">
        <v>2</v>
      </c>
      <c r="Y167" s="199">
        <f t="shared" si="139"/>
        <v>293</v>
      </c>
      <c r="Z167" s="200">
        <f t="shared" si="111"/>
        <v>461</v>
      </c>
      <c r="AA167" s="193">
        <v>71</v>
      </c>
      <c r="AB167" s="194">
        <v>43</v>
      </c>
      <c r="AC167" s="195">
        <v>131</v>
      </c>
      <c r="AD167" s="201">
        <v>17</v>
      </c>
      <c r="AE167" s="221">
        <v>0</v>
      </c>
      <c r="AF167" s="220">
        <v>4</v>
      </c>
      <c r="AG167" s="199">
        <f t="shared" si="112"/>
        <v>266</v>
      </c>
      <c r="AH167" s="200">
        <f t="shared" si="113"/>
        <v>418</v>
      </c>
      <c r="AI167" s="203">
        <f t="shared" si="140"/>
        <v>559</v>
      </c>
      <c r="AJ167" s="204">
        <f t="shared" si="140"/>
        <v>879</v>
      </c>
      <c r="AK167" s="193">
        <v>0</v>
      </c>
      <c r="AL167" s="194">
        <v>0</v>
      </c>
      <c r="AM167" s="195">
        <v>0</v>
      </c>
      <c r="AN167" s="196">
        <v>0</v>
      </c>
      <c r="AO167" s="219">
        <v>0</v>
      </c>
      <c r="AP167" s="220">
        <v>0</v>
      </c>
      <c r="AQ167" s="205">
        <f t="shared" si="115"/>
        <v>0</v>
      </c>
      <c r="AR167" s="206">
        <f t="shared" si="116"/>
        <v>0</v>
      </c>
      <c r="AS167" s="193">
        <v>0</v>
      </c>
      <c r="AT167" s="194">
        <v>0</v>
      </c>
      <c r="AU167" s="195">
        <v>0</v>
      </c>
      <c r="AV167" s="196">
        <v>0</v>
      </c>
      <c r="AW167" s="219">
        <v>0</v>
      </c>
      <c r="AX167" s="220">
        <v>0</v>
      </c>
      <c r="AY167" s="205">
        <f t="shared" si="117"/>
        <v>0</v>
      </c>
      <c r="AZ167" s="206">
        <f t="shared" si="118"/>
        <v>0</v>
      </c>
      <c r="BA167" s="207">
        <f t="shared" si="141"/>
        <v>0</v>
      </c>
      <c r="BB167" s="204">
        <f t="shared" si="141"/>
        <v>0</v>
      </c>
      <c r="BC167" s="208">
        <f t="shared" si="142"/>
        <v>293</v>
      </c>
      <c r="BD167" s="209">
        <f t="shared" si="142"/>
        <v>461</v>
      </c>
      <c r="BE167" s="210">
        <f t="shared" si="143"/>
        <v>266</v>
      </c>
      <c r="BF167" s="211">
        <f t="shared" si="143"/>
        <v>418</v>
      </c>
      <c r="BG167" s="212">
        <f t="shared" si="144"/>
        <v>559</v>
      </c>
      <c r="BH167" s="213">
        <f t="shared" si="144"/>
        <v>879</v>
      </c>
    </row>
    <row r="168" spans="1:60" ht="21" x14ac:dyDescent="0.3">
      <c r="A168" s="214" t="s">
        <v>667</v>
      </c>
      <c r="B168" s="306">
        <v>2</v>
      </c>
      <c r="C168" s="180">
        <v>10</v>
      </c>
      <c r="D168" s="215" t="s">
        <v>43</v>
      </c>
      <c r="E168" s="182" t="s">
        <v>708</v>
      </c>
      <c r="F168" s="183" t="s">
        <v>709</v>
      </c>
      <c r="G168" s="216" t="s">
        <v>710</v>
      </c>
      <c r="H168" s="217" t="s">
        <v>711</v>
      </c>
      <c r="I168" s="217" t="s">
        <v>712</v>
      </c>
      <c r="J168" s="218">
        <v>45820.291666666664</v>
      </c>
      <c r="K168" s="223">
        <f t="shared" si="133"/>
        <v>0.57916666667006211</v>
      </c>
      <c r="L168" s="222">
        <v>0.12152777778101154</v>
      </c>
      <c r="M168" s="189">
        <f t="shared" si="134"/>
        <v>0.45763888888905058</v>
      </c>
      <c r="N168" s="189">
        <f t="shared" si="135"/>
        <v>0.6875</v>
      </c>
      <c r="O168" s="190">
        <f t="shared" si="136"/>
        <v>44.795144157799051</v>
      </c>
      <c r="P168" s="190">
        <f t="shared" si="137"/>
        <v>35.395683453029896</v>
      </c>
      <c r="Q168" s="191">
        <f t="shared" si="138"/>
        <v>29.818181818181817</v>
      </c>
      <c r="R168" s="192" t="s">
        <v>50</v>
      </c>
      <c r="S168" s="193">
        <v>136</v>
      </c>
      <c r="T168" s="194">
        <v>0</v>
      </c>
      <c r="U168" s="195">
        <v>97</v>
      </c>
      <c r="V168" s="196">
        <v>26</v>
      </c>
      <c r="W168" s="219">
        <v>0</v>
      </c>
      <c r="X168" s="220">
        <v>0</v>
      </c>
      <c r="Y168" s="199">
        <f t="shared" si="139"/>
        <v>259</v>
      </c>
      <c r="Z168" s="200">
        <f t="shared" si="111"/>
        <v>382</v>
      </c>
      <c r="AA168" s="193">
        <v>112</v>
      </c>
      <c r="AB168" s="194">
        <v>2</v>
      </c>
      <c r="AC168" s="195">
        <v>114</v>
      </c>
      <c r="AD168" s="201">
        <v>5</v>
      </c>
      <c r="AE168" s="221">
        <v>0</v>
      </c>
      <c r="AF168" s="220">
        <v>0</v>
      </c>
      <c r="AG168" s="199">
        <f t="shared" si="112"/>
        <v>233</v>
      </c>
      <c r="AH168" s="200">
        <f t="shared" si="113"/>
        <v>352</v>
      </c>
      <c r="AI168" s="203">
        <f t="shared" si="140"/>
        <v>492</v>
      </c>
      <c r="AJ168" s="204">
        <f t="shared" si="140"/>
        <v>734</v>
      </c>
      <c r="AK168" s="193">
        <v>0</v>
      </c>
      <c r="AL168" s="194">
        <v>0</v>
      </c>
      <c r="AM168" s="195">
        <v>0</v>
      </c>
      <c r="AN168" s="196">
        <v>0</v>
      </c>
      <c r="AO168" s="219">
        <v>0</v>
      </c>
      <c r="AP168" s="220">
        <v>0</v>
      </c>
      <c r="AQ168" s="205">
        <f t="shared" si="115"/>
        <v>0</v>
      </c>
      <c r="AR168" s="206">
        <f t="shared" si="116"/>
        <v>0</v>
      </c>
      <c r="AS168" s="193">
        <v>0</v>
      </c>
      <c r="AT168" s="194">
        <v>0</v>
      </c>
      <c r="AU168" s="195">
        <v>0</v>
      </c>
      <c r="AV168" s="196">
        <v>0</v>
      </c>
      <c r="AW168" s="219">
        <v>0</v>
      </c>
      <c r="AX168" s="220">
        <v>0</v>
      </c>
      <c r="AY168" s="205">
        <f t="shared" si="117"/>
        <v>0</v>
      </c>
      <c r="AZ168" s="206">
        <f t="shared" si="118"/>
        <v>0</v>
      </c>
      <c r="BA168" s="207">
        <f t="shared" si="141"/>
        <v>0</v>
      </c>
      <c r="BB168" s="204">
        <f t="shared" si="141"/>
        <v>0</v>
      </c>
      <c r="BC168" s="208">
        <f t="shared" si="142"/>
        <v>259</v>
      </c>
      <c r="BD168" s="209">
        <f t="shared" si="142"/>
        <v>382</v>
      </c>
      <c r="BE168" s="210">
        <f t="shared" si="143"/>
        <v>233</v>
      </c>
      <c r="BF168" s="211">
        <f t="shared" si="143"/>
        <v>352</v>
      </c>
      <c r="BG168" s="212">
        <f t="shared" si="144"/>
        <v>492</v>
      </c>
      <c r="BH168" s="213">
        <f t="shared" si="144"/>
        <v>734</v>
      </c>
    </row>
    <row r="169" spans="1:60" ht="21" x14ac:dyDescent="0.3">
      <c r="A169" s="214" t="s">
        <v>667</v>
      </c>
      <c r="B169" s="306">
        <v>6</v>
      </c>
      <c r="C169" s="180">
        <v>11</v>
      </c>
      <c r="D169" s="215" t="s">
        <v>231</v>
      </c>
      <c r="E169" s="182" t="s">
        <v>713</v>
      </c>
      <c r="F169" s="183" t="s">
        <v>580</v>
      </c>
      <c r="G169" s="216" t="s">
        <v>714</v>
      </c>
      <c r="H169" s="217" t="s">
        <v>715</v>
      </c>
      <c r="I169" s="217" t="s">
        <v>716</v>
      </c>
      <c r="J169" s="218">
        <v>45821.75</v>
      </c>
      <c r="K169" s="223">
        <f t="shared" si="133"/>
        <v>0.55694444444088731</v>
      </c>
      <c r="L169" s="222">
        <v>0</v>
      </c>
      <c r="M169" s="189">
        <f t="shared" si="134"/>
        <v>0.55694444444088731</v>
      </c>
      <c r="N169" s="189">
        <f t="shared" si="135"/>
        <v>0.60069444444525288</v>
      </c>
      <c r="O169" s="190">
        <f t="shared" si="136"/>
        <v>43.541147132447669</v>
      </c>
      <c r="P169" s="190">
        <f t="shared" si="137"/>
        <v>43.541147132447669</v>
      </c>
      <c r="Q169" s="191">
        <f t="shared" si="138"/>
        <v>40.36994219647746</v>
      </c>
      <c r="R169" s="192" t="s">
        <v>57</v>
      </c>
      <c r="S169" s="193">
        <v>147</v>
      </c>
      <c r="T169" s="194">
        <v>0</v>
      </c>
      <c r="U169" s="195">
        <v>75</v>
      </c>
      <c r="V169" s="196">
        <v>71</v>
      </c>
      <c r="W169" s="219">
        <v>0</v>
      </c>
      <c r="X169" s="220">
        <v>0</v>
      </c>
      <c r="Y169" s="199">
        <f t="shared" si="139"/>
        <v>293</v>
      </c>
      <c r="Z169" s="200">
        <f t="shared" si="111"/>
        <v>439</v>
      </c>
      <c r="AA169" s="193">
        <v>103</v>
      </c>
      <c r="AB169" s="194">
        <v>32</v>
      </c>
      <c r="AC169" s="195">
        <v>135</v>
      </c>
      <c r="AD169" s="201">
        <v>9</v>
      </c>
      <c r="AE169" s="221">
        <v>0</v>
      </c>
      <c r="AF169" s="220">
        <v>10</v>
      </c>
      <c r="AG169" s="199">
        <f t="shared" si="112"/>
        <v>289</v>
      </c>
      <c r="AH169" s="200">
        <f t="shared" si="113"/>
        <v>443</v>
      </c>
      <c r="AI169" s="203">
        <f t="shared" si="140"/>
        <v>582</v>
      </c>
      <c r="AJ169" s="204">
        <f t="shared" si="140"/>
        <v>882</v>
      </c>
      <c r="AK169" s="193">
        <v>0</v>
      </c>
      <c r="AL169" s="194">
        <v>0</v>
      </c>
      <c r="AM169" s="195">
        <v>0</v>
      </c>
      <c r="AN169" s="196">
        <v>0</v>
      </c>
      <c r="AO169" s="219">
        <v>0</v>
      </c>
      <c r="AP169" s="220">
        <v>0</v>
      </c>
      <c r="AQ169" s="205">
        <f t="shared" si="115"/>
        <v>0</v>
      </c>
      <c r="AR169" s="206">
        <f t="shared" si="116"/>
        <v>0</v>
      </c>
      <c r="AS169" s="193">
        <v>0</v>
      </c>
      <c r="AT169" s="194">
        <v>0</v>
      </c>
      <c r="AU169" s="195">
        <v>0</v>
      </c>
      <c r="AV169" s="196">
        <v>0</v>
      </c>
      <c r="AW169" s="219">
        <v>0</v>
      </c>
      <c r="AX169" s="220">
        <v>0</v>
      </c>
      <c r="AY169" s="205">
        <f t="shared" si="117"/>
        <v>0</v>
      </c>
      <c r="AZ169" s="206">
        <f t="shared" si="118"/>
        <v>0</v>
      </c>
      <c r="BA169" s="207">
        <f t="shared" si="141"/>
        <v>0</v>
      </c>
      <c r="BB169" s="204">
        <f t="shared" si="141"/>
        <v>0</v>
      </c>
      <c r="BC169" s="208">
        <f t="shared" si="142"/>
        <v>293</v>
      </c>
      <c r="BD169" s="209">
        <f t="shared" si="142"/>
        <v>439</v>
      </c>
      <c r="BE169" s="210">
        <f t="shared" si="143"/>
        <v>289</v>
      </c>
      <c r="BF169" s="211">
        <f t="shared" si="143"/>
        <v>443</v>
      </c>
      <c r="BG169" s="212">
        <f t="shared" si="144"/>
        <v>582</v>
      </c>
      <c r="BH169" s="213">
        <f t="shared" si="144"/>
        <v>882</v>
      </c>
    </row>
    <row r="170" spans="1:60" ht="21" x14ac:dyDescent="0.3">
      <c r="A170" s="214" t="s">
        <v>667</v>
      </c>
      <c r="B170" s="306">
        <v>4</v>
      </c>
      <c r="C170" s="180">
        <v>12</v>
      </c>
      <c r="D170" s="215" t="s">
        <v>79</v>
      </c>
      <c r="E170" s="182" t="s">
        <v>717</v>
      </c>
      <c r="F170" s="183" t="s">
        <v>704</v>
      </c>
      <c r="G170" s="216" t="s">
        <v>718</v>
      </c>
      <c r="H170" s="217" t="s">
        <v>719</v>
      </c>
      <c r="I170" s="217" t="s">
        <v>720</v>
      </c>
      <c r="J170" s="218">
        <v>45823.375</v>
      </c>
      <c r="K170" s="223">
        <f t="shared" si="133"/>
        <v>0.51319444444379769</v>
      </c>
      <c r="L170" s="222">
        <v>0</v>
      </c>
      <c r="M170" s="189">
        <f t="shared" si="134"/>
        <v>0.51319444444379769</v>
      </c>
      <c r="N170" s="189">
        <f t="shared" si="135"/>
        <v>0.58333333333575865</v>
      </c>
      <c r="O170" s="190">
        <f t="shared" si="136"/>
        <v>43.59945872806577</v>
      </c>
      <c r="P170" s="190">
        <f t="shared" si="137"/>
        <v>43.59945872806577</v>
      </c>
      <c r="Q170" s="191">
        <f t="shared" si="138"/>
        <v>38.35714285698338</v>
      </c>
      <c r="R170" s="192" t="s">
        <v>71</v>
      </c>
      <c r="S170" s="193">
        <v>103</v>
      </c>
      <c r="T170" s="194">
        <v>1</v>
      </c>
      <c r="U170" s="195">
        <v>127</v>
      </c>
      <c r="V170" s="196">
        <v>34</v>
      </c>
      <c r="W170" s="219">
        <v>0</v>
      </c>
      <c r="X170" s="220">
        <v>1</v>
      </c>
      <c r="Y170" s="199">
        <f t="shared" si="139"/>
        <v>266</v>
      </c>
      <c r="Z170" s="200">
        <f t="shared" si="111"/>
        <v>428</v>
      </c>
      <c r="AA170" s="193">
        <v>65</v>
      </c>
      <c r="AB170" s="194">
        <v>49</v>
      </c>
      <c r="AC170" s="195">
        <v>141</v>
      </c>
      <c r="AD170" s="201">
        <v>11</v>
      </c>
      <c r="AE170" s="221">
        <v>0</v>
      </c>
      <c r="AF170" s="220">
        <v>5</v>
      </c>
      <c r="AG170" s="199">
        <f t="shared" si="112"/>
        <v>271</v>
      </c>
      <c r="AH170" s="200">
        <f t="shared" si="113"/>
        <v>428</v>
      </c>
      <c r="AI170" s="203">
        <f t="shared" si="140"/>
        <v>537</v>
      </c>
      <c r="AJ170" s="204">
        <f t="shared" si="140"/>
        <v>856</v>
      </c>
      <c r="AK170" s="193">
        <v>0</v>
      </c>
      <c r="AL170" s="194">
        <v>0</v>
      </c>
      <c r="AM170" s="195">
        <v>0</v>
      </c>
      <c r="AN170" s="196">
        <v>0</v>
      </c>
      <c r="AO170" s="219">
        <v>0</v>
      </c>
      <c r="AP170" s="220">
        <v>0</v>
      </c>
      <c r="AQ170" s="205">
        <f t="shared" si="115"/>
        <v>0</v>
      </c>
      <c r="AR170" s="206">
        <f t="shared" si="116"/>
        <v>0</v>
      </c>
      <c r="AS170" s="193">
        <v>0</v>
      </c>
      <c r="AT170" s="194">
        <v>0</v>
      </c>
      <c r="AU170" s="195">
        <v>0</v>
      </c>
      <c r="AV170" s="196">
        <v>0</v>
      </c>
      <c r="AW170" s="219">
        <v>0</v>
      </c>
      <c r="AX170" s="220">
        <v>0</v>
      </c>
      <c r="AY170" s="205">
        <f t="shared" si="117"/>
        <v>0</v>
      </c>
      <c r="AZ170" s="206">
        <f t="shared" si="118"/>
        <v>0</v>
      </c>
      <c r="BA170" s="207">
        <f t="shared" si="141"/>
        <v>0</v>
      </c>
      <c r="BB170" s="204">
        <f t="shared" si="141"/>
        <v>0</v>
      </c>
      <c r="BC170" s="208">
        <f t="shared" si="142"/>
        <v>266</v>
      </c>
      <c r="BD170" s="209">
        <f t="shared" si="142"/>
        <v>428</v>
      </c>
      <c r="BE170" s="210">
        <f t="shared" si="143"/>
        <v>271</v>
      </c>
      <c r="BF170" s="211">
        <f t="shared" si="143"/>
        <v>428</v>
      </c>
      <c r="BG170" s="212">
        <f t="shared" si="144"/>
        <v>537</v>
      </c>
      <c r="BH170" s="213">
        <f t="shared" si="144"/>
        <v>856</v>
      </c>
    </row>
    <row r="171" spans="1:60" ht="21" x14ac:dyDescent="0.3">
      <c r="A171" s="214" t="s">
        <v>667</v>
      </c>
      <c r="B171" s="306">
        <v>7</v>
      </c>
      <c r="C171" s="180">
        <v>13</v>
      </c>
      <c r="D171" s="215" t="s">
        <v>72</v>
      </c>
      <c r="E171" s="182" t="s">
        <v>721</v>
      </c>
      <c r="F171" s="183" t="s">
        <v>543</v>
      </c>
      <c r="G171" s="216" t="s">
        <v>722</v>
      </c>
      <c r="H171" s="217" t="s">
        <v>723</v>
      </c>
      <c r="I171" s="217" t="s">
        <v>724</v>
      </c>
      <c r="J171" s="218">
        <v>45825.166666666664</v>
      </c>
      <c r="K171" s="223">
        <f t="shared" si="133"/>
        <v>0.35486111111094942</v>
      </c>
      <c r="L171" s="222">
        <v>0</v>
      </c>
      <c r="M171" s="189">
        <f t="shared" si="134"/>
        <v>0.35486111111094942</v>
      </c>
      <c r="N171" s="189">
        <f t="shared" si="135"/>
        <v>0.49305555555474712</v>
      </c>
      <c r="O171" s="190">
        <f t="shared" si="136"/>
        <v>52.602739726051368</v>
      </c>
      <c r="P171" s="190">
        <f t="shared" si="137"/>
        <v>52.602739726051368</v>
      </c>
      <c r="Q171" s="191">
        <f t="shared" si="138"/>
        <v>37.859154929639537</v>
      </c>
      <c r="R171" s="192" t="s">
        <v>57</v>
      </c>
      <c r="S171" s="193">
        <v>74</v>
      </c>
      <c r="T171" s="194">
        <v>44</v>
      </c>
      <c r="U171" s="195">
        <v>37</v>
      </c>
      <c r="V171" s="196">
        <v>27</v>
      </c>
      <c r="W171" s="219">
        <v>0</v>
      </c>
      <c r="X171" s="220">
        <v>0</v>
      </c>
      <c r="Y171" s="199">
        <f t="shared" si="139"/>
        <v>182</v>
      </c>
      <c r="Z171" s="200">
        <f t="shared" si="111"/>
        <v>246</v>
      </c>
      <c r="AA171" s="193">
        <v>64</v>
      </c>
      <c r="AB171" s="194">
        <v>0</v>
      </c>
      <c r="AC171" s="195">
        <v>76</v>
      </c>
      <c r="AD171" s="201">
        <v>0</v>
      </c>
      <c r="AE171" s="221">
        <v>0</v>
      </c>
      <c r="AF171" s="220">
        <v>0</v>
      </c>
      <c r="AG171" s="199">
        <f t="shared" si="112"/>
        <v>140</v>
      </c>
      <c r="AH171" s="200">
        <f t="shared" si="113"/>
        <v>216</v>
      </c>
      <c r="AI171" s="203">
        <f t="shared" si="140"/>
        <v>322</v>
      </c>
      <c r="AJ171" s="204">
        <f t="shared" si="140"/>
        <v>462</v>
      </c>
      <c r="AK171" s="193">
        <v>0</v>
      </c>
      <c r="AL171" s="194">
        <v>0</v>
      </c>
      <c r="AM171" s="195">
        <v>63</v>
      </c>
      <c r="AN171" s="196">
        <v>0</v>
      </c>
      <c r="AO171" s="219">
        <v>0</v>
      </c>
      <c r="AP171" s="220">
        <v>0</v>
      </c>
      <c r="AQ171" s="205">
        <f t="shared" si="115"/>
        <v>63</v>
      </c>
      <c r="AR171" s="206">
        <f t="shared" si="116"/>
        <v>126</v>
      </c>
      <c r="AS171" s="193">
        <v>0</v>
      </c>
      <c r="AT171" s="194">
        <v>0</v>
      </c>
      <c r="AU171" s="195">
        <v>63</v>
      </c>
      <c r="AV171" s="196">
        <v>0</v>
      </c>
      <c r="AW171" s="219">
        <v>0</v>
      </c>
      <c r="AX171" s="220">
        <v>0</v>
      </c>
      <c r="AY171" s="205">
        <f t="shared" si="117"/>
        <v>63</v>
      </c>
      <c r="AZ171" s="206">
        <f t="shared" si="118"/>
        <v>126</v>
      </c>
      <c r="BA171" s="207">
        <f t="shared" si="141"/>
        <v>126</v>
      </c>
      <c r="BB171" s="204">
        <f t="shared" si="141"/>
        <v>252</v>
      </c>
      <c r="BC171" s="208">
        <f t="shared" si="142"/>
        <v>245</v>
      </c>
      <c r="BD171" s="209">
        <f t="shared" si="142"/>
        <v>372</v>
      </c>
      <c r="BE171" s="210">
        <f t="shared" si="143"/>
        <v>203</v>
      </c>
      <c r="BF171" s="211">
        <f t="shared" si="143"/>
        <v>342</v>
      </c>
      <c r="BG171" s="212">
        <f t="shared" si="144"/>
        <v>448</v>
      </c>
      <c r="BH171" s="213">
        <f t="shared" si="144"/>
        <v>714</v>
      </c>
    </row>
    <row r="172" spans="1:60" ht="21" x14ac:dyDescent="0.3">
      <c r="A172" s="214" t="s">
        <v>667</v>
      </c>
      <c r="B172" s="306">
        <v>8</v>
      </c>
      <c r="C172" s="180">
        <v>14</v>
      </c>
      <c r="D172" s="215" t="s">
        <v>51</v>
      </c>
      <c r="E172" s="182" t="s">
        <v>725</v>
      </c>
      <c r="F172" s="183" t="s">
        <v>704</v>
      </c>
      <c r="G172" s="216" t="s">
        <v>726</v>
      </c>
      <c r="H172" s="217" t="s">
        <v>727</v>
      </c>
      <c r="I172" s="217" t="s">
        <v>728</v>
      </c>
      <c r="J172" s="218">
        <v>45826.166666666664</v>
      </c>
      <c r="K172" s="223">
        <f t="shared" si="133"/>
        <v>0.61458333333575865</v>
      </c>
      <c r="L172" s="222">
        <v>8.6805555547471158E-2</v>
      </c>
      <c r="M172" s="189">
        <f t="shared" si="134"/>
        <v>0.52777777778828749</v>
      </c>
      <c r="N172" s="189">
        <f t="shared" si="135"/>
        <v>0.71527777777373558</v>
      </c>
      <c r="O172" s="190">
        <f t="shared" si="136"/>
        <v>42.710526314938967</v>
      </c>
      <c r="P172" s="190">
        <f t="shared" si="137"/>
        <v>36.677966101550176</v>
      </c>
      <c r="Q172" s="191">
        <f t="shared" si="138"/>
        <v>31.514563106974212</v>
      </c>
      <c r="R172" s="192" t="s">
        <v>57</v>
      </c>
      <c r="S172" s="193">
        <v>98</v>
      </c>
      <c r="T172" s="194">
        <v>0</v>
      </c>
      <c r="U172" s="195">
        <v>85</v>
      </c>
      <c r="V172" s="196">
        <v>123</v>
      </c>
      <c r="W172" s="219">
        <v>0</v>
      </c>
      <c r="X172" s="220">
        <v>0</v>
      </c>
      <c r="Y172" s="199">
        <f t="shared" si="139"/>
        <v>306</v>
      </c>
      <c r="Z172" s="200">
        <f t="shared" si="111"/>
        <v>514</v>
      </c>
      <c r="AA172" s="193">
        <v>73</v>
      </c>
      <c r="AB172" s="194">
        <v>50</v>
      </c>
      <c r="AC172" s="195">
        <v>93</v>
      </c>
      <c r="AD172" s="201">
        <v>5</v>
      </c>
      <c r="AE172" s="221">
        <v>0</v>
      </c>
      <c r="AF172" s="220">
        <v>14</v>
      </c>
      <c r="AG172" s="199">
        <f t="shared" si="112"/>
        <v>235</v>
      </c>
      <c r="AH172" s="200">
        <f t="shared" si="113"/>
        <v>347</v>
      </c>
      <c r="AI172" s="203">
        <f t="shared" si="140"/>
        <v>541</v>
      </c>
      <c r="AJ172" s="204">
        <f t="shared" si="140"/>
        <v>861</v>
      </c>
      <c r="AK172" s="193">
        <v>0</v>
      </c>
      <c r="AL172" s="194">
        <v>0</v>
      </c>
      <c r="AM172" s="195">
        <v>0</v>
      </c>
      <c r="AN172" s="196">
        <v>0</v>
      </c>
      <c r="AO172" s="219">
        <v>0</v>
      </c>
      <c r="AP172" s="220">
        <v>0</v>
      </c>
      <c r="AQ172" s="205">
        <f t="shared" si="115"/>
        <v>0</v>
      </c>
      <c r="AR172" s="206">
        <f t="shared" si="116"/>
        <v>0</v>
      </c>
      <c r="AS172" s="193">
        <v>0</v>
      </c>
      <c r="AT172" s="194">
        <v>0</v>
      </c>
      <c r="AU172" s="195">
        <v>0</v>
      </c>
      <c r="AV172" s="196">
        <v>0</v>
      </c>
      <c r="AW172" s="219">
        <v>0</v>
      </c>
      <c r="AX172" s="220">
        <v>0</v>
      </c>
      <c r="AY172" s="205">
        <f t="shared" si="117"/>
        <v>0</v>
      </c>
      <c r="AZ172" s="206">
        <f t="shared" si="118"/>
        <v>0</v>
      </c>
      <c r="BA172" s="207">
        <f t="shared" si="141"/>
        <v>0</v>
      </c>
      <c r="BB172" s="204">
        <f t="shared" si="141"/>
        <v>0</v>
      </c>
      <c r="BC172" s="208">
        <f t="shared" si="142"/>
        <v>306</v>
      </c>
      <c r="BD172" s="209">
        <f t="shared" si="142"/>
        <v>514</v>
      </c>
      <c r="BE172" s="210">
        <f t="shared" si="143"/>
        <v>235</v>
      </c>
      <c r="BF172" s="211">
        <f t="shared" si="143"/>
        <v>347</v>
      </c>
      <c r="BG172" s="212">
        <f t="shared" si="144"/>
        <v>541</v>
      </c>
      <c r="BH172" s="213">
        <f t="shared" si="144"/>
        <v>861</v>
      </c>
    </row>
    <row r="173" spans="1:60" ht="21" x14ac:dyDescent="0.3">
      <c r="A173" s="214" t="s">
        <v>667</v>
      </c>
      <c r="B173" s="306">
        <v>9</v>
      </c>
      <c r="C173" s="180">
        <v>15</v>
      </c>
      <c r="D173" s="215" t="s">
        <v>58</v>
      </c>
      <c r="E173" s="182" t="s">
        <v>729</v>
      </c>
      <c r="F173" s="183" t="s">
        <v>678</v>
      </c>
      <c r="G173" s="216" t="s">
        <v>730</v>
      </c>
      <c r="H173" s="217" t="s">
        <v>731</v>
      </c>
      <c r="I173" s="217" t="s">
        <v>732</v>
      </c>
      <c r="J173" s="218">
        <v>45826.489583333336</v>
      </c>
      <c r="K173" s="223">
        <f t="shared" si="133"/>
        <v>0.742361111115315</v>
      </c>
      <c r="L173" s="222">
        <v>0.40277777777373558</v>
      </c>
      <c r="M173" s="189">
        <f t="shared" si="134"/>
        <v>0.33958333334157942</v>
      </c>
      <c r="N173" s="189">
        <f t="shared" si="135"/>
        <v>0.77430555555474712</v>
      </c>
      <c r="O173" s="190">
        <f t="shared" si="136"/>
        <v>27.607361962519793</v>
      </c>
      <c r="P173" s="190">
        <f t="shared" si="137"/>
        <v>12.628624882996775</v>
      </c>
      <c r="Q173" s="191">
        <f t="shared" si="138"/>
        <v>12.107623318398291</v>
      </c>
      <c r="R173" s="192" t="s">
        <v>57</v>
      </c>
      <c r="S173" s="193">
        <v>93</v>
      </c>
      <c r="T173" s="194">
        <v>0</v>
      </c>
      <c r="U173" s="195">
        <v>53</v>
      </c>
      <c r="V173" s="196">
        <v>71</v>
      </c>
      <c r="W173" s="219">
        <v>0</v>
      </c>
      <c r="X173" s="220">
        <v>0</v>
      </c>
      <c r="Y173" s="199">
        <f t="shared" si="139"/>
        <v>217</v>
      </c>
      <c r="Z173" s="200">
        <f t="shared" si="111"/>
        <v>341</v>
      </c>
      <c r="AA173" s="193">
        <v>4</v>
      </c>
      <c r="AB173" s="194">
        <v>0</v>
      </c>
      <c r="AC173" s="195">
        <v>4</v>
      </c>
      <c r="AD173" s="201">
        <v>0</v>
      </c>
      <c r="AE173" s="221">
        <v>0</v>
      </c>
      <c r="AF173" s="220">
        <v>0</v>
      </c>
      <c r="AG173" s="199">
        <f t="shared" si="112"/>
        <v>8</v>
      </c>
      <c r="AH173" s="200">
        <f t="shared" si="113"/>
        <v>12</v>
      </c>
      <c r="AI173" s="203">
        <f t="shared" si="140"/>
        <v>225</v>
      </c>
      <c r="AJ173" s="204">
        <f t="shared" si="140"/>
        <v>353</v>
      </c>
      <c r="AK173" s="193">
        <v>0</v>
      </c>
      <c r="AL173" s="194">
        <v>0</v>
      </c>
      <c r="AM173" s="195">
        <v>0</v>
      </c>
      <c r="AN173" s="196">
        <v>0</v>
      </c>
      <c r="AO173" s="219">
        <v>0</v>
      </c>
      <c r="AP173" s="220">
        <v>0</v>
      </c>
      <c r="AQ173" s="205">
        <f t="shared" si="115"/>
        <v>0</v>
      </c>
      <c r="AR173" s="206">
        <f t="shared" si="116"/>
        <v>0</v>
      </c>
      <c r="AS173" s="193">
        <v>0</v>
      </c>
      <c r="AT173" s="194">
        <v>0</v>
      </c>
      <c r="AU173" s="195">
        <v>0</v>
      </c>
      <c r="AV173" s="196">
        <v>0</v>
      </c>
      <c r="AW173" s="219">
        <v>0</v>
      </c>
      <c r="AX173" s="220">
        <v>0</v>
      </c>
      <c r="AY173" s="205">
        <f t="shared" si="117"/>
        <v>0</v>
      </c>
      <c r="AZ173" s="206">
        <f t="shared" si="118"/>
        <v>0</v>
      </c>
      <c r="BA173" s="207">
        <f t="shared" si="141"/>
        <v>0</v>
      </c>
      <c r="BB173" s="204">
        <f t="shared" si="141"/>
        <v>0</v>
      </c>
      <c r="BC173" s="208">
        <f t="shared" si="142"/>
        <v>217</v>
      </c>
      <c r="BD173" s="209">
        <f t="shared" si="142"/>
        <v>341</v>
      </c>
      <c r="BE173" s="210">
        <f t="shared" si="143"/>
        <v>8</v>
      </c>
      <c r="BF173" s="211">
        <f t="shared" si="143"/>
        <v>12</v>
      </c>
      <c r="BG173" s="212">
        <f t="shared" si="144"/>
        <v>225</v>
      </c>
      <c r="BH173" s="213">
        <f t="shared" si="144"/>
        <v>353</v>
      </c>
    </row>
    <row r="174" spans="1:60" ht="21" x14ac:dyDescent="0.3">
      <c r="A174" s="214" t="s">
        <v>667</v>
      </c>
      <c r="B174" s="306">
        <v>5</v>
      </c>
      <c r="C174" s="180">
        <v>16</v>
      </c>
      <c r="D174" s="215" t="s">
        <v>65</v>
      </c>
      <c r="E174" s="182" t="s">
        <v>733</v>
      </c>
      <c r="F174" s="183" t="s">
        <v>734</v>
      </c>
      <c r="G174" s="216" t="s">
        <v>735</v>
      </c>
      <c r="H174" s="217" t="s">
        <v>736</v>
      </c>
      <c r="I174" s="217" t="s">
        <v>737</v>
      </c>
      <c r="J174" s="218">
        <v>45827.319444444445</v>
      </c>
      <c r="K174" s="223">
        <f t="shared" si="133"/>
        <v>0.47986111111094942</v>
      </c>
      <c r="L174" s="222">
        <v>0</v>
      </c>
      <c r="M174" s="189">
        <f t="shared" si="134"/>
        <v>0.47986111111094942</v>
      </c>
      <c r="N174" s="189">
        <f t="shared" si="135"/>
        <v>0.50694444444525288</v>
      </c>
      <c r="O174" s="190">
        <f t="shared" si="136"/>
        <v>52.272069464561753</v>
      </c>
      <c r="P174" s="190">
        <f t="shared" si="137"/>
        <v>52.272069464561753</v>
      </c>
      <c r="Q174" s="191">
        <f t="shared" si="138"/>
        <v>49.479452054715615</v>
      </c>
      <c r="R174" s="192" t="s">
        <v>71</v>
      </c>
      <c r="S174" s="193">
        <v>130</v>
      </c>
      <c r="T174" s="194">
        <v>2</v>
      </c>
      <c r="U174" s="195">
        <v>155</v>
      </c>
      <c r="V174" s="196">
        <v>23</v>
      </c>
      <c r="W174" s="219">
        <v>0</v>
      </c>
      <c r="X174" s="220">
        <v>5</v>
      </c>
      <c r="Y174" s="199">
        <f t="shared" si="139"/>
        <v>315</v>
      </c>
      <c r="Z174" s="200">
        <f t="shared" si="111"/>
        <v>498</v>
      </c>
      <c r="AA174" s="193">
        <v>77</v>
      </c>
      <c r="AB174" s="194">
        <v>49</v>
      </c>
      <c r="AC174" s="195">
        <v>142</v>
      </c>
      <c r="AD174" s="201">
        <v>15</v>
      </c>
      <c r="AE174" s="221">
        <v>0</v>
      </c>
      <c r="AF174" s="220">
        <v>4</v>
      </c>
      <c r="AG174" s="199">
        <f t="shared" si="112"/>
        <v>287</v>
      </c>
      <c r="AH174" s="200">
        <f t="shared" si="113"/>
        <v>448</v>
      </c>
      <c r="AI174" s="203">
        <f t="shared" si="140"/>
        <v>602</v>
      </c>
      <c r="AJ174" s="204">
        <f t="shared" si="140"/>
        <v>946</v>
      </c>
      <c r="AK174" s="193">
        <v>0</v>
      </c>
      <c r="AL174" s="194">
        <v>0</v>
      </c>
      <c r="AM174" s="195">
        <v>0</v>
      </c>
      <c r="AN174" s="196">
        <v>0</v>
      </c>
      <c r="AO174" s="219">
        <v>0</v>
      </c>
      <c r="AP174" s="220">
        <v>0</v>
      </c>
      <c r="AQ174" s="205">
        <f t="shared" si="115"/>
        <v>0</v>
      </c>
      <c r="AR174" s="206">
        <f t="shared" si="116"/>
        <v>0</v>
      </c>
      <c r="AS174" s="193">
        <v>0</v>
      </c>
      <c r="AT174" s="194">
        <v>0</v>
      </c>
      <c r="AU174" s="195">
        <v>0</v>
      </c>
      <c r="AV174" s="196">
        <v>0</v>
      </c>
      <c r="AW174" s="219">
        <v>0</v>
      </c>
      <c r="AX174" s="220">
        <v>0</v>
      </c>
      <c r="AY174" s="205">
        <f t="shared" si="117"/>
        <v>0</v>
      </c>
      <c r="AZ174" s="206">
        <f t="shared" si="118"/>
        <v>0</v>
      </c>
      <c r="BA174" s="207">
        <f t="shared" si="141"/>
        <v>0</v>
      </c>
      <c r="BB174" s="204">
        <f t="shared" si="141"/>
        <v>0</v>
      </c>
      <c r="BC174" s="208">
        <f t="shared" si="142"/>
        <v>315</v>
      </c>
      <c r="BD174" s="209">
        <f t="shared" si="142"/>
        <v>498</v>
      </c>
      <c r="BE174" s="210">
        <f t="shared" si="143"/>
        <v>287</v>
      </c>
      <c r="BF174" s="211">
        <f t="shared" si="143"/>
        <v>448</v>
      </c>
      <c r="BG174" s="212">
        <f t="shared" si="144"/>
        <v>602</v>
      </c>
      <c r="BH174" s="213">
        <f t="shared" si="144"/>
        <v>946</v>
      </c>
    </row>
    <row r="175" spans="1:60" ht="21" x14ac:dyDescent="0.3">
      <c r="A175" s="214" t="s">
        <v>667</v>
      </c>
      <c r="B175" s="306">
        <v>3</v>
      </c>
      <c r="C175" s="180">
        <v>17</v>
      </c>
      <c r="D175" s="215" t="s">
        <v>43</v>
      </c>
      <c r="E175" s="182" t="s">
        <v>738</v>
      </c>
      <c r="F175" s="183" t="s">
        <v>739</v>
      </c>
      <c r="G175" s="216" t="s">
        <v>740</v>
      </c>
      <c r="H175" s="217" t="s">
        <v>741</v>
      </c>
      <c r="I175" s="217" t="s">
        <v>742</v>
      </c>
      <c r="J175" s="218">
        <v>45828.5</v>
      </c>
      <c r="K175" s="223">
        <f t="shared" si="133"/>
        <v>0.55277777777519077</v>
      </c>
      <c r="L175" s="222">
        <v>5.9027777781011537E-2</v>
      </c>
      <c r="M175" s="189">
        <f t="shared" si="134"/>
        <v>0.49374999999417923</v>
      </c>
      <c r="N175" s="189">
        <f t="shared" si="135"/>
        <v>0.65277777778101154</v>
      </c>
      <c r="O175" s="190">
        <f t="shared" si="136"/>
        <v>44.978902954116755</v>
      </c>
      <c r="P175" s="190">
        <f t="shared" si="137"/>
        <v>40.175879397172949</v>
      </c>
      <c r="Q175" s="191">
        <f t="shared" si="138"/>
        <v>34.021276595576147</v>
      </c>
      <c r="R175" s="192" t="s">
        <v>50</v>
      </c>
      <c r="S175" s="193">
        <v>128</v>
      </c>
      <c r="T175" s="194">
        <v>5</v>
      </c>
      <c r="U175" s="195">
        <v>96</v>
      </c>
      <c r="V175" s="196">
        <v>64</v>
      </c>
      <c r="W175" s="219">
        <v>0</v>
      </c>
      <c r="X175" s="220">
        <v>0</v>
      </c>
      <c r="Y175" s="199">
        <f t="shared" si="139"/>
        <v>293</v>
      </c>
      <c r="Z175" s="200">
        <f t="shared" si="111"/>
        <v>453</v>
      </c>
      <c r="AA175" s="193">
        <v>107</v>
      </c>
      <c r="AB175" s="194">
        <v>16</v>
      </c>
      <c r="AC175" s="195">
        <v>117</v>
      </c>
      <c r="AD175" s="201">
        <v>0</v>
      </c>
      <c r="AE175" s="221">
        <v>0</v>
      </c>
      <c r="AF175" s="220">
        <v>0</v>
      </c>
      <c r="AG175" s="199">
        <f t="shared" si="112"/>
        <v>240</v>
      </c>
      <c r="AH175" s="200">
        <f t="shared" si="113"/>
        <v>357</v>
      </c>
      <c r="AI175" s="203">
        <f t="shared" si="140"/>
        <v>533</v>
      </c>
      <c r="AJ175" s="204">
        <f t="shared" si="140"/>
        <v>810</v>
      </c>
      <c r="AK175" s="193">
        <v>0</v>
      </c>
      <c r="AL175" s="194">
        <v>0</v>
      </c>
      <c r="AM175" s="195">
        <v>0</v>
      </c>
      <c r="AN175" s="196">
        <v>0</v>
      </c>
      <c r="AO175" s="219">
        <v>0</v>
      </c>
      <c r="AP175" s="220">
        <v>0</v>
      </c>
      <c r="AQ175" s="205">
        <f t="shared" si="115"/>
        <v>0</v>
      </c>
      <c r="AR175" s="206">
        <f t="shared" si="116"/>
        <v>0</v>
      </c>
      <c r="AS175" s="193">
        <v>0</v>
      </c>
      <c r="AT175" s="194">
        <v>0</v>
      </c>
      <c r="AU175" s="195">
        <v>0</v>
      </c>
      <c r="AV175" s="196">
        <v>0</v>
      </c>
      <c r="AW175" s="219">
        <v>0</v>
      </c>
      <c r="AX175" s="220">
        <v>0</v>
      </c>
      <c r="AY175" s="205">
        <f t="shared" si="117"/>
        <v>0</v>
      </c>
      <c r="AZ175" s="206">
        <f t="shared" si="118"/>
        <v>0</v>
      </c>
      <c r="BA175" s="207">
        <f t="shared" si="141"/>
        <v>0</v>
      </c>
      <c r="BB175" s="204">
        <f t="shared" si="141"/>
        <v>0</v>
      </c>
      <c r="BC175" s="208">
        <f t="shared" si="142"/>
        <v>293</v>
      </c>
      <c r="BD175" s="209">
        <f t="shared" si="142"/>
        <v>453</v>
      </c>
      <c r="BE175" s="210">
        <f t="shared" si="143"/>
        <v>240</v>
      </c>
      <c r="BF175" s="211">
        <f t="shared" si="143"/>
        <v>357</v>
      </c>
      <c r="BG175" s="212">
        <f t="shared" si="144"/>
        <v>533</v>
      </c>
      <c r="BH175" s="213">
        <f t="shared" si="144"/>
        <v>810</v>
      </c>
    </row>
    <row r="176" spans="1:60" ht="21" x14ac:dyDescent="0.3">
      <c r="A176" s="214" t="s">
        <v>667</v>
      </c>
      <c r="B176" s="306">
        <v>10</v>
      </c>
      <c r="C176" s="180">
        <v>18</v>
      </c>
      <c r="D176" s="215" t="s">
        <v>231</v>
      </c>
      <c r="E176" s="182" t="s">
        <v>743</v>
      </c>
      <c r="F176" s="183" t="s">
        <v>615</v>
      </c>
      <c r="G176" s="216" t="s">
        <v>744</v>
      </c>
      <c r="H176" s="217" t="s">
        <v>745</v>
      </c>
      <c r="I176" s="217" t="s">
        <v>746</v>
      </c>
      <c r="J176" s="218">
        <v>45829.270833333336</v>
      </c>
      <c r="K176" s="223">
        <f t="shared" si="133"/>
        <v>0.30000000000291038</v>
      </c>
      <c r="L176" s="222">
        <v>0</v>
      </c>
      <c r="M176" s="189">
        <f t="shared" si="134"/>
        <v>0.30000000000291038</v>
      </c>
      <c r="N176" s="189">
        <f t="shared" si="135"/>
        <v>0.35069444444525288</v>
      </c>
      <c r="O176" s="190">
        <f t="shared" si="136"/>
        <v>49.583333332852312</v>
      </c>
      <c r="P176" s="190">
        <f t="shared" si="137"/>
        <v>49.583333332852312</v>
      </c>
      <c r="Q176" s="191">
        <f t="shared" si="138"/>
        <v>42.415841584060637</v>
      </c>
      <c r="R176" s="192" t="s">
        <v>57</v>
      </c>
      <c r="S176" s="193">
        <v>95</v>
      </c>
      <c r="T176" s="194">
        <v>0</v>
      </c>
      <c r="U176" s="195">
        <v>70</v>
      </c>
      <c r="V176" s="196">
        <v>46</v>
      </c>
      <c r="W176" s="219">
        <v>0</v>
      </c>
      <c r="X176" s="220">
        <v>1</v>
      </c>
      <c r="Y176" s="199">
        <f t="shared" si="139"/>
        <v>212</v>
      </c>
      <c r="Z176" s="200">
        <f t="shared" si="111"/>
        <v>329</v>
      </c>
      <c r="AA176" s="193">
        <v>71</v>
      </c>
      <c r="AB176" s="194">
        <v>0</v>
      </c>
      <c r="AC176" s="195">
        <v>72</v>
      </c>
      <c r="AD176" s="201">
        <v>0</v>
      </c>
      <c r="AE176" s="221">
        <v>0</v>
      </c>
      <c r="AF176" s="220">
        <v>2</v>
      </c>
      <c r="AG176" s="199">
        <f t="shared" si="112"/>
        <v>145</v>
      </c>
      <c r="AH176" s="200">
        <f t="shared" si="113"/>
        <v>219</v>
      </c>
      <c r="AI176" s="203">
        <f t="shared" si="140"/>
        <v>357</v>
      </c>
      <c r="AJ176" s="204">
        <f t="shared" si="140"/>
        <v>548</v>
      </c>
      <c r="AK176" s="193">
        <v>0</v>
      </c>
      <c r="AL176" s="194">
        <v>0</v>
      </c>
      <c r="AM176" s="195">
        <v>0</v>
      </c>
      <c r="AN176" s="196">
        <v>0</v>
      </c>
      <c r="AO176" s="219">
        <v>0</v>
      </c>
      <c r="AP176" s="220">
        <v>0</v>
      </c>
      <c r="AQ176" s="205">
        <f t="shared" si="115"/>
        <v>0</v>
      </c>
      <c r="AR176" s="206">
        <f t="shared" si="116"/>
        <v>0</v>
      </c>
      <c r="AS176" s="193">
        <v>0</v>
      </c>
      <c r="AT176" s="194">
        <v>0</v>
      </c>
      <c r="AU176" s="195">
        <v>0</v>
      </c>
      <c r="AV176" s="196">
        <v>0</v>
      </c>
      <c r="AW176" s="219">
        <v>0</v>
      </c>
      <c r="AX176" s="220">
        <v>0</v>
      </c>
      <c r="AY176" s="205">
        <f t="shared" si="117"/>
        <v>0</v>
      </c>
      <c r="AZ176" s="206">
        <f t="shared" si="118"/>
        <v>0</v>
      </c>
      <c r="BA176" s="207">
        <f t="shared" si="141"/>
        <v>0</v>
      </c>
      <c r="BB176" s="204">
        <f t="shared" si="141"/>
        <v>0</v>
      </c>
      <c r="BC176" s="208">
        <f t="shared" si="142"/>
        <v>212</v>
      </c>
      <c r="BD176" s="209">
        <f t="shared" si="142"/>
        <v>329</v>
      </c>
      <c r="BE176" s="210">
        <f t="shared" si="143"/>
        <v>145</v>
      </c>
      <c r="BF176" s="211">
        <f t="shared" si="143"/>
        <v>219</v>
      </c>
      <c r="BG176" s="212">
        <f t="shared" si="144"/>
        <v>357</v>
      </c>
      <c r="BH176" s="213">
        <f t="shared" si="144"/>
        <v>548</v>
      </c>
    </row>
    <row r="177" spans="1:60" ht="21" x14ac:dyDescent="0.3">
      <c r="A177" s="214" t="s">
        <v>667</v>
      </c>
      <c r="B177" s="306">
        <v>6</v>
      </c>
      <c r="C177" s="180">
        <v>19</v>
      </c>
      <c r="D177" s="215" t="s">
        <v>79</v>
      </c>
      <c r="E177" s="182" t="s">
        <v>747</v>
      </c>
      <c r="F177" s="183" t="s">
        <v>734</v>
      </c>
      <c r="G177" s="216" t="s">
        <v>748</v>
      </c>
      <c r="H177" s="217" t="s">
        <v>749</v>
      </c>
      <c r="I177" s="217" t="s">
        <v>750</v>
      </c>
      <c r="J177" s="218">
        <v>45830.916666666664</v>
      </c>
      <c r="K177" s="223">
        <f t="shared" si="133"/>
        <v>0.42083333332993789</v>
      </c>
      <c r="L177" s="222">
        <v>0</v>
      </c>
      <c r="M177" s="189">
        <f t="shared" si="134"/>
        <v>0.42083333332993789</v>
      </c>
      <c r="N177" s="189">
        <f t="shared" si="135"/>
        <v>0.44444444444525288</v>
      </c>
      <c r="O177" s="190">
        <f t="shared" si="136"/>
        <v>60.297029703456793</v>
      </c>
      <c r="P177" s="190">
        <f t="shared" si="137"/>
        <v>60.297029703456793</v>
      </c>
      <c r="Q177" s="191">
        <f t="shared" si="138"/>
        <v>57.093749999896147</v>
      </c>
      <c r="R177" s="192" t="s">
        <v>71</v>
      </c>
      <c r="S177" s="193">
        <v>138</v>
      </c>
      <c r="T177" s="194">
        <v>1</v>
      </c>
      <c r="U177" s="195">
        <v>157</v>
      </c>
      <c r="V177" s="196">
        <v>27</v>
      </c>
      <c r="W177" s="219">
        <v>0</v>
      </c>
      <c r="X177" s="220">
        <v>2</v>
      </c>
      <c r="Y177" s="199">
        <f>SUM(S177:X177)</f>
        <v>325</v>
      </c>
      <c r="Z177" s="200">
        <f>Y177+SUM(U177:V177)+X177</f>
        <v>511</v>
      </c>
      <c r="AA177" s="193">
        <v>68</v>
      </c>
      <c r="AB177" s="194">
        <v>46</v>
      </c>
      <c r="AC177" s="195">
        <v>145</v>
      </c>
      <c r="AD177" s="201">
        <v>20</v>
      </c>
      <c r="AE177" s="221">
        <v>0</v>
      </c>
      <c r="AF177" s="220">
        <v>5</v>
      </c>
      <c r="AG177" s="199">
        <f>SUM(AA177:AF177)</f>
        <v>284</v>
      </c>
      <c r="AH177" s="200">
        <f>AG177+SUM(AC177:AD177)+AF177</f>
        <v>454</v>
      </c>
      <c r="AI177" s="203">
        <f t="shared" si="140"/>
        <v>609</v>
      </c>
      <c r="AJ177" s="204">
        <f t="shared" si="140"/>
        <v>965</v>
      </c>
      <c r="AK177" s="193">
        <v>0</v>
      </c>
      <c r="AL177" s="194">
        <v>0</v>
      </c>
      <c r="AM177" s="195">
        <v>0</v>
      </c>
      <c r="AN177" s="196">
        <v>0</v>
      </c>
      <c r="AO177" s="219">
        <v>0</v>
      </c>
      <c r="AP177" s="220">
        <v>0</v>
      </c>
      <c r="AQ177" s="205">
        <f>SUM(AK177:AP177)</f>
        <v>0</v>
      </c>
      <c r="AR177" s="206">
        <f>AQ177+SUM(AM177:AN177)+AP177</f>
        <v>0</v>
      </c>
      <c r="AS177" s="193">
        <v>0</v>
      </c>
      <c r="AT177" s="194">
        <v>0</v>
      </c>
      <c r="AU177" s="195">
        <v>0</v>
      </c>
      <c r="AV177" s="196">
        <v>0</v>
      </c>
      <c r="AW177" s="219">
        <v>0</v>
      </c>
      <c r="AX177" s="220">
        <v>0</v>
      </c>
      <c r="AY177" s="205">
        <f>SUM(AS177:AX177)</f>
        <v>0</v>
      </c>
      <c r="AZ177" s="206">
        <f>AY177+SUM(AU177:AV177)+AX177</f>
        <v>0</v>
      </c>
      <c r="BA177" s="207">
        <f t="shared" si="141"/>
        <v>0</v>
      </c>
      <c r="BB177" s="204">
        <f t="shared" si="141"/>
        <v>0</v>
      </c>
      <c r="BC177" s="208">
        <f t="shared" si="142"/>
        <v>325</v>
      </c>
      <c r="BD177" s="209">
        <f t="shared" si="142"/>
        <v>511</v>
      </c>
      <c r="BE177" s="210">
        <f t="shared" si="143"/>
        <v>284</v>
      </c>
      <c r="BF177" s="211">
        <f t="shared" si="143"/>
        <v>454</v>
      </c>
      <c r="BG177" s="212">
        <f t="shared" si="144"/>
        <v>609</v>
      </c>
      <c r="BH177" s="213">
        <f t="shared" si="144"/>
        <v>965</v>
      </c>
    </row>
    <row r="178" spans="1:60" ht="21" x14ac:dyDescent="0.3">
      <c r="A178" s="214" t="s">
        <v>667</v>
      </c>
      <c r="B178" s="306">
        <v>11</v>
      </c>
      <c r="C178" s="180">
        <v>20</v>
      </c>
      <c r="D178" s="215" t="s">
        <v>72</v>
      </c>
      <c r="E178" s="182" t="s">
        <v>751</v>
      </c>
      <c r="F178" s="183" t="s">
        <v>580</v>
      </c>
      <c r="G178" s="216" t="s">
        <v>752</v>
      </c>
      <c r="H178" s="217" t="s">
        <v>753</v>
      </c>
      <c r="I178" s="217" t="s">
        <v>754</v>
      </c>
      <c r="J178" s="218">
        <v>45832.958333333336</v>
      </c>
      <c r="K178" s="223">
        <f t="shared" si="133"/>
        <v>0.34861111111240461</v>
      </c>
      <c r="L178" s="222">
        <v>0</v>
      </c>
      <c r="M178" s="189">
        <f t="shared" si="134"/>
        <v>0.34861111111240461</v>
      </c>
      <c r="N178" s="189">
        <f t="shared" si="135"/>
        <v>0.37847222222626442</v>
      </c>
      <c r="O178" s="190">
        <f t="shared" si="136"/>
        <v>49.84063745001427</v>
      </c>
      <c r="P178" s="190">
        <f t="shared" si="137"/>
        <v>49.84063745001427</v>
      </c>
      <c r="Q178" s="191">
        <f t="shared" si="138"/>
        <v>45.908256880243634</v>
      </c>
      <c r="R178" s="192" t="s">
        <v>57</v>
      </c>
      <c r="S178" s="193">
        <v>25</v>
      </c>
      <c r="T178" s="194">
        <v>69</v>
      </c>
      <c r="U178" s="195">
        <v>17</v>
      </c>
      <c r="V178" s="196">
        <v>46</v>
      </c>
      <c r="W178" s="219">
        <v>0</v>
      </c>
      <c r="X178" s="220">
        <v>0</v>
      </c>
      <c r="Y178" s="199">
        <f>SUM(S178:X178)</f>
        <v>157</v>
      </c>
      <c r="Z178" s="200">
        <f>Y178+SUM(U178:V178)+X178</f>
        <v>220</v>
      </c>
      <c r="AA178" s="193">
        <v>54</v>
      </c>
      <c r="AB178" s="194">
        <v>20</v>
      </c>
      <c r="AC178" s="195">
        <v>86</v>
      </c>
      <c r="AD178" s="201">
        <v>100</v>
      </c>
      <c r="AE178" s="221">
        <v>0</v>
      </c>
      <c r="AF178" s="220">
        <v>0</v>
      </c>
      <c r="AG178" s="199">
        <f>SUM(AA178:AF178)</f>
        <v>260</v>
      </c>
      <c r="AH178" s="200">
        <f>AG178+SUM(AC178:AD178)+AF178</f>
        <v>446</v>
      </c>
      <c r="AI178" s="203">
        <f t="shared" ref="AI178:AJ193" si="145">Y178+AG178</f>
        <v>417</v>
      </c>
      <c r="AJ178" s="204">
        <f t="shared" si="145"/>
        <v>666</v>
      </c>
      <c r="AK178" s="193">
        <v>0</v>
      </c>
      <c r="AL178" s="194">
        <v>0</v>
      </c>
      <c r="AM178" s="195">
        <v>0</v>
      </c>
      <c r="AN178" s="196">
        <v>0</v>
      </c>
      <c r="AO178" s="219">
        <v>0</v>
      </c>
      <c r="AP178" s="220">
        <v>0</v>
      </c>
      <c r="AQ178" s="205">
        <f>SUM(AK178:AP178)</f>
        <v>0</v>
      </c>
      <c r="AR178" s="206">
        <f>AQ178+SUM(AM178:AN178)+AP178</f>
        <v>0</v>
      </c>
      <c r="AS178" s="193">
        <v>0</v>
      </c>
      <c r="AT178" s="194">
        <v>0</v>
      </c>
      <c r="AU178" s="195">
        <v>0</v>
      </c>
      <c r="AV178" s="196">
        <v>0</v>
      </c>
      <c r="AW178" s="219">
        <v>0</v>
      </c>
      <c r="AX178" s="220">
        <v>0</v>
      </c>
      <c r="AY178" s="205">
        <f>SUM(AS178:AX178)</f>
        <v>0</v>
      </c>
      <c r="AZ178" s="206">
        <f>AY178+SUM(AU178:AV178)+AX178</f>
        <v>0</v>
      </c>
      <c r="BA178" s="207">
        <f t="shared" ref="BA178:BB193" si="146">AQ178+AY178</f>
        <v>0</v>
      </c>
      <c r="BB178" s="204">
        <f t="shared" si="146"/>
        <v>0</v>
      </c>
      <c r="BC178" s="208">
        <f t="shared" ref="BC178:BD193" si="147">Y178+AQ178</f>
        <v>157</v>
      </c>
      <c r="BD178" s="209">
        <f t="shared" si="147"/>
        <v>220</v>
      </c>
      <c r="BE178" s="210">
        <f t="shared" ref="BE178:BF193" si="148">AG178+AY178</f>
        <v>260</v>
      </c>
      <c r="BF178" s="211">
        <f t="shared" si="148"/>
        <v>446</v>
      </c>
      <c r="BG178" s="212">
        <f t="shared" ref="BG178:BH193" si="149">BC178+BE178</f>
        <v>417</v>
      </c>
      <c r="BH178" s="213">
        <f t="shared" si="149"/>
        <v>666</v>
      </c>
    </row>
    <row r="179" spans="1:60" ht="21" x14ac:dyDescent="0.3">
      <c r="A179" s="214" t="s">
        <v>667</v>
      </c>
      <c r="B179" s="306">
        <v>12</v>
      </c>
      <c r="C179" s="180">
        <v>21</v>
      </c>
      <c r="D179" s="215" t="s">
        <v>51</v>
      </c>
      <c r="E179" s="182" t="s">
        <v>755</v>
      </c>
      <c r="F179" s="183" t="s">
        <v>734</v>
      </c>
      <c r="G179" s="216" t="s">
        <v>756</v>
      </c>
      <c r="H179" s="217" t="s">
        <v>757</v>
      </c>
      <c r="I179" s="217" t="s">
        <v>758</v>
      </c>
      <c r="J179" s="218">
        <v>45833.666666666664</v>
      </c>
      <c r="K179" s="223">
        <f t="shared" si="133"/>
        <v>0.58819444444088731</v>
      </c>
      <c r="L179" s="222">
        <v>0</v>
      </c>
      <c r="M179" s="189">
        <f t="shared" si="134"/>
        <v>0.58819444444088731</v>
      </c>
      <c r="N179" s="189">
        <f t="shared" si="135"/>
        <v>0.64236111110949423</v>
      </c>
      <c r="O179" s="190">
        <f t="shared" si="136"/>
        <v>31.735537190274567</v>
      </c>
      <c r="P179" s="190">
        <f t="shared" si="137"/>
        <v>31.735537190274567</v>
      </c>
      <c r="Q179" s="191">
        <f t="shared" si="138"/>
        <v>29.059459459532604</v>
      </c>
      <c r="R179" s="192" t="s">
        <v>57</v>
      </c>
      <c r="S179" s="193">
        <v>183</v>
      </c>
      <c r="T179" s="194">
        <v>0</v>
      </c>
      <c r="U179" s="195">
        <v>100</v>
      </c>
      <c r="V179" s="196">
        <v>1</v>
      </c>
      <c r="W179" s="219">
        <v>0</v>
      </c>
      <c r="X179" s="220">
        <v>1</v>
      </c>
      <c r="Y179" s="199">
        <f>SUM(S179:X179)</f>
        <v>285</v>
      </c>
      <c r="Z179" s="200">
        <f>Y179+SUM(U179:V179)+X179</f>
        <v>387</v>
      </c>
      <c r="AA179" s="193">
        <v>61</v>
      </c>
      <c r="AB179" s="194">
        <v>0</v>
      </c>
      <c r="AC179" s="195">
        <v>86</v>
      </c>
      <c r="AD179" s="201">
        <v>1</v>
      </c>
      <c r="AE179" s="221">
        <v>0</v>
      </c>
      <c r="AF179" s="220">
        <v>15</v>
      </c>
      <c r="AG179" s="199">
        <f>SUM(AA179:AF179)</f>
        <v>163</v>
      </c>
      <c r="AH179" s="200">
        <f>AG179+SUM(AC179:AD179)+AF179</f>
        <v>265</v>
      </c>
      <c r="AI179" s="203">
        <f t="shared" si="145"/>
        <v>448</v>
      </c>
      <c r="AJ179" s="204">
        <f t="shared" si="145"/>
        <v>652</v>
      </c>
      <c r="AK179" s="193">
        <v>0</v>
      </c>
      <c r="AL179" s="194">
        <v>0</v>
      </c>
      <c r="AM179" s="195">
        <v>0</v>
      </c>
      <c r="AN179" s="196">
        <v>0</v>
      </c>
      <c r="AO179" s="219">
        <v>0</v>
      </c>
      <c r="AP179" s="220">
        <v>0</v>
      </c>
      <c r="AQ179" s="205">
        <f>SUM(AK179:AP179)</f>
        <v>0</v>
      </c>
      <c r="AR179" s="206">
        <f>AQ179+SUM(AM179:AN179)+AP179</f>
        <v>0</v>
      </c>
      <c r="AS179" s="193">
        <v>0</v>
      </c>
      <c r="AT179" s="194">
        <v>0</v>
      </c>
      <c r="AU179" s="195">
        <v>0</v>
      </c>
      <c r="AV179" s="196">
        <v>0</v>
      </c>
      <c r="AW179" s="219">
        <v>0</v>
      </c>
      <c r="AX179" s="220">
        <v>0</v>
      </c>
      <c r="AY179" s="205">
        <f>SUM(AS179:AX179)</f>
        <v>0</v>
      </c>
      <c r="AZ179" s="206">
        <f>AY179+SUM(AU179:AV179)+AX179</f>
        <v>0</v>
      </c>
      <c r="BA179" s="207">
        <f t="shared" si="146"/>
        <v>0</v>
      </c>
      <c r="BB179" s="204">
        <f t="shared" si="146"/>
        <v>0</v>
      </c>
      <c r="BC179" s="208">
        <f t="shared" si="147"/>
        <v>285</v>
      </c>
      <c r="BD179" s="209">
        <f t="shared" si="147"/>
        <v>387</v>
      </c>
      <c r="BE179" s="210">
        <f t="shared" si="148"/>
        <v>163</v>
      </c>
      <c r="BF179" s="211">
        <f t="shared" si="148"/>
        <v>265</v>
      </c>
      <c r="BG179" s="212">
        <f t="shared" si="149"/>
        <v>448</v>
      </c>
      <c r="BH179" s="213">
        <f t="shared" si="149"/>
        <v>652</v>
      </c>
    </row>
    <row r="180" spans="1:60" ht="21" x14ac:dyDescent="0.3">
      <c r="A180" s="214" t="s">
        <v>667</v>
      </c>
      <c r="B180" s="306">
        <v>7</v>
      </c>
      <c r="C180" s="180">
        <v>22</v>
      </c>
      <c r="D180" s="215" t="s">
        <v>65</v>
      </c>
      <c r="E180" s="182" t="s">
        <v>759</v>
      </c>
      <c r="F180" s="183" t="s">
        <v>760</v>
      </c>
      <c r="G180" s="216" t="s">
        <v>761</v>
      </c>
      <c r="H180" s="217" t="s">
        <v>762</v>
      </c>
      <c r="I180" s="217" t="s">
        <v>763</v>
      </c>
      <c r="J180" s="218">
        <v>45834.520833333336</v>
      </c>
      <c r="K180" s="223">
        <f t="shared" si="133"/>
        <v>0.4375</v>
      </c>
      <c r="L180" s="222">
        <v>1.0416666664241347E-2</v>
      </c>
      <c r="M180" s="189">
        <f t="shared" si="134"/>
        <v>0.42708333333575865</v>
      </c>
      <c r="N180" s="189">
        <f t="shared" si="135"/>
        <v>0.46527777778101154</v>
      </c>
      <c r="O180" s="190">
        <f t="shared" si="136"/>
        <v>57.365853658210817</v>
      </c>
      <c r="P180" s="190">
        <f t="shared" si="137"/>
        <v>56</v>
      </c>
      <c r="Q180" s="191">
        <f t="shared" si="138"/>
        <v>52.65671641754448</v>
      </c>
      <c r="R180" s="192" t="s">
        <v>71</v>
      </c>
      <c r="S180" s="193">
        <v>129</v>
      </c>
      <c r="T180" s="194">
        <v>2</v>
      </c>
      <c r="U180" s="195">
        <v>157</v>
      </c>
      <c r="V180" s="196">
        <v>21</v>
      </c>
      <c r="W180" s="219">
        <v>0</v>
      </c>
      <c r="X180" s="220">
        <v>3</v>
      </c>
      <c r="Y180" s="199">
        <f t="shared" ref="Y180:Y185" si="150">SUM(S180:X180)</f>
        <v>312</v>
      </c>
      <c r="Z180" s="200">
        <f t="shared" ref="Z180:Z185" si="151">Y180+SUM(U180:V180)+X180</f>
        <v>493</v>
      </c>
      <c r="AA180" s="193">
        <v>74</v>
      </c>
      <c r="AB180" s="194">
        <v>52</v>
      </c>
      <c r="AC180" s="195">
        <v>135</v>
      </c>
      <c r="AD180" s="201">
        <v>11</v>
      </c>
      <c r="AE180" s="221">
        <v>0</v>
      </c>
      <c r="AF180" s="220">
        <v>4</v>
      </c>
      <c r="AG180" s="199">
        <f t="shared" ref="AG180:AG185" si="152">SUM(AA180:AF180)</f>
        <v>276</v>
      </c>
      <c r="AH180" s="200">
        <f t="shared" ref="AH180:AH185" si="153">AG180+SUM(AC180:AD180)+AF180</f>
        <v>426</v>
      </c>
      <c r="AI180" s="203">
        <f t="shared" si="145"/>
        <v>588</v>
      </c>
      <c r="AJ180" s="204">
        <f t="shared" si="145"/>
        <v>919</v>
      </c>
      <c r="AK180" s="193">
        <v>0</v>
      </c>
      <c r="AL180" s="194">
        <v>0</v>
      </c>
      <c r="AM180" s="195">
        <v>0</v>
      </c>
      <c r="AN180" s="196">
        <v>0</v>
      </c>
      <c r="AO180" s="219">
        <v>0</v>
      </c>
      <c r="AP180" s="220">
        <v>0</v>
      </c>
      <c r="AQ180" s="205">
        <f t="shared" ref="AQ180:AQ185" si="154">SUM(AK180:AP180)</f>
        <v>0</v>
      </c>
      <c r="AR180" s="206">
        <f t="shared" ref="AR180:AR185" si="155">AQ180+SUM(AM180:AN180)+AP180</f>
        <v>0</v>
      </c>
      <c r="AS180" s="193">
        <v>0</v>
      </c>
      <c r="AT180" s="194">
        <v>0</v>
      </c>
      <c r="AU180" s="195">
        <v>0</v>
      </c>
      <c r="AV180" s="196">
        <v>0</v>
      </c>
      <c r="AW180" s="219">
        <v>0</v>
      </c>
      <c r="AX180" s="220">
        <v>0</v>
      </c>
      <c r="AY180" s="205">
        <f t="shared" ref="AY180:AY185" si="156">SUM(AS180:AX180)</f>
        <v>0</v>
      </c>
      <c r="AZ180" s="206">
        <f t="shared" ref="AZ180:AZ185" si="157">AY180+SUM(AU180:AV180)+AX180</f>
        <v>0</v>
      </c>
      <c r="BA180" s="207">
        <f t="shared" si="146"/>
        <v>0</v>
      </c>
      <c r="BB180" s="204">
        <f t="shared" si="146"/>
        <v>0</v>
      </c>
      <c r="BC180" s="208">
        <f t="shared" si="147"/>
        <v>312</v>
      </c>
      <c r="BD180" s="209">
        <f t="shared" si="147"/>
        <v>493</v>
      </c>
      <c r="BE180" s="210">
        <f t="shared" si="148"/>
        <v>276</v>
      </c>
      <c r="BF180" s="211">
        <f t="shared" si="148"/>
        <v>426</v>
      </c>
      <c r="BG180" s="212">
        <f t="shared" si="149"/>
        <v>588</v>
      </c>
      <c r="BH180" s="213">
        <f t="shared" si="149"/>
        <v>919</v>
      </c>
    </row>
    <row r="181" spans="1:60" ht="21" x14ac:dyDescent="0.3">
      <c r="A181" s="214" t="s">
        <v>667</v>
      </c>
      <c r="B181" s="306">
        <v>13</v>
      </c>
      <c r="C181" s="180">
        <v>23</v>
      </c>
      <c r="D181" s="215" t="s">
        <v>58</v>
      </c>
      <c r="E181" s="182" t="s">
        <v>764</v>
      </c>
      <c r="F181" s="183" t="s">
        <v>704</v>
      </c>
      <c r="G181" s="216" t="s">
        <v>765</v>
      </c>
      <c r="H181" s="217" t="s">
        <v>766</v>
      </c>
      <c r="I181" s="217" t="s">
        <v>767</v>
      </c>
      <c r="J181" s="218">
        <v>45836.638888888891</v>
      </c>
      <c r="K181" s="223">
        <f t="shared" si="133"/>
        <v>0.48611111110949423</v>
      </c>
      <c r="L181" s="222">
        <v>0</v>
      </c>
      <c r="M181" s="189">
        <f t="shared" si="134"/>
        <v>0.48611111110949423</v>
      </c>
      <c r="N181" s="189">
        <f t="shared" si="135"/>
        <v>0.51388888889050577</v>
      </c>
      <c r="O181" s="190">
        <f t="shared" si="136"/>
        <v>47.485714285872234</v>
      </c>
      <c r="P181" s="190">
        <f t="shared" si="137"/>
        <v>47.485714285872234</v>
      </c>
      <c r="Q181" s="191">
        <f t="shared" si="138"/>
        <v>44.918918918777592</v>
      </c>
      <c r="R181" s="192" t="s">
        <v>57</v>
      </c>
      <c r="S181" s="193">
        <v>79</v>
      </c>
      <c r="T181" s="194">
        <v>0</v>
      </c>
      <c r="U181" s="195">
        <v>47</v>
      </c>
      <c r="V181" s="196">
        <v>201</v>
      </c>
      <c r="W181" s="219">
        <v>0</v>
      </c>
      <c r="X181" s="220">
        <v>0</v>
      </c>
      <c r="Y181" s="199">
        <f t="shared" si="150"/>
        <v>327</v>
      </c>
      <c r="Z181" s="200">
        <f t="shared" si="151"/>
        <v>575</v>
      </c>
      <c r="AA181" s="193">
        <v>76</v>
      </c>
      <c r="AB181" s="194">
        <v>80</v>
      </c>
      <c r="AC181" s="195">
        <v>44</v>
      </c>
      <c r="AD181" s="201">
        <v>0</v>
      </c>
      <c r="AE181" s="221">
        <v>0</v>
      </c>
      <c r="AF181" s="220">
        <v>27</v>
      </c>
      <c r="AG181" s="199">
        <f t="shared" si="152"/>
        <v>227</v>
      </c>
      <c r="AH181" s="200">
        <f t="shared" si="153"/>
        <v>298</v>
      </c>
      <c r="AI181" s="203">
        <f t="shared" si="145"/>
        <v>554</v>
      </c>
      <c r="AJ181" s="204">
        <f t="shared" si="145"/>
        <v>873</v>
      </c>
      <c r="AK181" s="193">
        <v>0</v>
      </c>
      <c r="AL181" s="194">
        <v>0</v>
      </c>
      <c r="AM181" s="195">
        <v>0</v>
      </c>
      <c r="AN181" s="196">
        <v>0</v>
      </c>
      <c r="AO181" s="219">
        <v>0</v>
      </c>
      <c r="AP181" s="220">
        <v>0</v>
      </c>
      <c r="AQ181" s="205">
        <f t="shared" si="154"/>
        <v>0</v>
      </c>
      <c r="AR181" s="206">
        <f t="shared" si="155"/>
        <v>0</v>
      </c>
      <c r="AS181" s="193">
        <v>0</v>
      </c>
      <c r="AT181" s="194">
        <v>0</v>
      </c>
      <c r="AU181" s="195">
        <v>0</v>
      </c>
      <c r="AV181" s="196">
        <v>0</v>
      </c>
      <c r="AW181" s="219">
        <v>0</v>
      </c>
      <c r="AX181" s="220">
        <v>0</v>
      </c>
      <c r="AY181" s="205">
        <f t="shared" si="156"/>
        <v>0</v>
      </c>
      <c r="AZ181" s="206">
        <f t="shared" si="157"/>
        <v>0</v>
      </c>
      <c r="BA181" s="207">
        <f t="shared" si="146"/>
        <v>0</v>
      </c>
      <c r="BB181" s="204">
        <f t="shared" si="146"/>
        <v>0</v>
      </c>
      <c r="BC181" s="208">
        <f t="shared" si="147"/>
        <v>327</v>
      </c>
      <c r="BD181" s="209">
        <f t="shared" si="147"/>
        <v>575</v>
      </c>
      <c r="BE181" s="210">
        <f t="shared" si="148"/>
        <v>227</v>
      </c>
      <c r="BF181" s="211">
        <f t="shared" si="148"/>
        <v>298</v>
      </c>
      <c r="BG181" s="212">
        <f t="shared" si="149"/>
        <v>554</v>
      </c>
      <c r="BH181" s="213">
        <f t="shared" si="149"/>
        <v>873</v>
      </c>
    </row>
    <row r="182" spans="1:60" ht="21" x14ac:dyDescent="0.3">
      <c r="A182" s="214" t="s">
        <v>667</v>
      </c>
      <c r="B182" s="306">
        <v>4</v>
      </c>
      <c r="C182" s="180">
        <v>24</v>
      </c>
      <c r="D182" s="215" t="s">
        <v>43</v>
      </c>
      <c r="E182" s="182" t="s">
        <v>768</v>
      </c>
      <c r="F182" s="183" t="s">
        <v>769</v>
      </c>
      <c r="G182" s="216" t="s">
        <v>770</v>
      </c>
      <c r="H182" s="217" t="s">
        <v>771</v>
      </c>
      <c r="I182" s="217" t="s">
        <v>772</v>
      </c>
      <c r="J182" s="218">
        <v>45837.75</v>
      </c>
      <c r="K182" s="223">
        <f t="shared" si="133"/>
        <v>0.69652777777810115</v>
      </c>
      <c r="L182" s="222">
        <v>0</v>
      </c>
      <c r="M182" s="189">
        <f t="shared" si="134"/>
        <v>0.69652777777810115</v>
      </c>
      <c r="N182" s="189">
        <f t="shared" si="135"/>
        <v>1.0243055555547471</v>
      </c>
      <c r="O182" s="190">
        <f t="shared" si="136"/>
        <v>32.602193419725644</v>
      </c>
      <c r="P182" s="190">
        <f t="shared" si="137"/>
        <v>32.602193419725644</v>
      </c>
      <c r="Q182" s="191">
        <f t="shared" si="138"/>
        <v>22.169491525441227</v>
      </c>
      <c r="R182" s="192" t="s">
        <v>50</v>
      </c>
      <c r="S182" s="193">
        <v>135</v>
      </c>
      <c r="T182" s="194">
        <v>0</v>
      </c>
      <c r="U182" s="195">
        <v>115</v>
      </c>
      <c r="V182" s="196">
        <v>0</v>
      </c>
      <c r="W182" s="219">
        <v>0</v>
      </c>
      <c r="X182" s="220">
        <v>0</v>
      </c>
      <c r="Y182" s="199">
        <f t="shared" si="150"/>
        <v>250</v>
      </c>
      <c r="Z182" s="200">
        <f t="shared" si="151"/>
        <v>365</v>
      </c>
      <c r="AA182" s="193">
        <v>112</v>
      </c>
      <c r="AB182" s="194">
        <v>60</v>
      </c>
      <c r="AC182" s="195">
        <v>123</v>
      </c>
      <c r="AD182" s="201">
        <v>0</v>
      </c>
      <c r="AE182" s="221">
        <v>0</v>
      </c>
      <c r="AF182" s="220">
        <v>0</v>
      </c>
      <c r="AG182" s="199">
        <f t="shared" si="152"/>
        <v>295</v>
      </c>
      <c r="AH182" s="200">
        <f t="shared" si="153"/>
        <v>418</v>
      </c>
      <c r="AI182" s="203">
        <f t="shared" si="145"/>
        <v>545</v>
      </c>
      <c r="AJ182" s="204">
        <f t="shared" si="145"/>
        <v>783</v>
      </c>
      <c r="AK182" s="193">
        <v>0</v>
      </c>
      <c r="AL182" s="194">
        <v>0</v>
      </c>
      <c r="AM182" s="195">
        <v>0</v>
      </c>
      <c r="AN182" s="196">
        <v>0</v>
      </c>
      <c r="AO182" s="219">
        <v>0</v>
      </c>
      <c r="AP182" s="220">
        <v>0</v>
      </c>
      <c r="AQ182" s="205">
        <f t="shared" si="154"/>
        <v>0</v>
      </c>
      <c r="AR182" s="206">
        <f t="shared" si="155"/>
        <v>0</v>
      </c>
      <c r="AS182" s="193">
        <v>0</v>
      </c>
      <c r="AT182" s="194">
        <v>0</v>
      </c>
      <c r="AU182" s="195">
        <v>0</v>
      </c>
      <c r="AV182" s="196">
        <v>0</v>
      </c>
      <c r="AW182" s="219">
        <v>0</v>
      </c>
      <c r="AX182" s="220">
        <v>0</v>
      </c>
      <c r="AY182" s="205">
        <f t="shared" si="156"/>
        <v>0</v>
      </c>
      <c r="AZ182" s="206">
        <f t="shared" si="157"/>
        <v>0</v>
      </c>
      <c r="BA182" s="207">
        <f t="shared" si="146"/>
        <v>0</v>
      </c>
      <c r="BB182" s="204">
        <f t="shared" si="146"/>
        <v>0</v>
      </c>
      <c r="BC182" s="208">
        <f t="shared" si="147"/>
        <v>250</v>
      </c>
      <c r="BD182" s="209">
        <f t="shared" si="147"/>
        <v>365</v>
      </c>
      <c r="BE182" s="210">
        <f t="shared" si="148"/>
        <v>295</v>
      </c>
      <c r="BF182" s="211">
        <f t="shared" si="148"/>
        <v>418</v>
      </c>
      <c r="BG182" s="212">
        <f t="shared" si="149"/>
        <v>545</v>
      </c>
      <c r="BH182" s="213">
        <f t="shared" si="149"/>
        <v>783</v>
      </c>
    </row>
    <row r="183" spans="1:60" ht="21" x14ac:dyDescent="0.3">
      <c r="A183" s="214" t="s">
        <v>667</v>
      </c>
      <c r="B183" s="306">
        <v>14</v>
      </c>
      <c r="C183" s="180">
        <v>25</v>
      </c>
      <c r="D183" s="215" t="s">
        <v>231</v>
      </c>
      <c r="E183" s="182" t="s">
        <v>773</v>
      </c>
      <c r="F183" s="183" t="s">
        <v>645</v>
      </c>
      <c r="G183" s="216" t="s">
        <v>774</v>
      </c>
      <c r="H183" s="217" t="s">
        <v>775</v>
      </c>
      <c r="I183" s="217" t="s">
        <v>776</v>
      </c>
      <c r="J183" s="218">
        <v>45837.756944444445</v>
      </c>
      <c r="K183" s="223">
        <f t="shared" si="133"/>
        <v>0.56180555555329192</v>
      </c>
      <c r="L183" s="222">
        <v>0.11111111111677019</v>
      </c>
      <c r="M183" s="189">
        <f t="shared" si="134"/>
        <v>0.45069444443652174</v>
      </c>
      <c r="N183" s="189">
        <f t="shared" si="135"/>
        <v>0.57638888889050577</v>
      </c>
      <c r="O183" s="190">
        <f t="shared" si="136"/>
        <v>41.325115563130147</v>
      </c>
      <c r="P183" s="190">
        <f t="shared" si="137"/>
        <v>33.152039555139758</v>
      </c>
      <c r="Q183" s="191">
        <f t="shared" si="138"/>
        <v>32.313253011957549</v>
      </c>
      <c r="R183" s="192" t="s">
        <v>57</v>
      </c>
      <c r="S183" s="193">
        <v>107</v>
      </c>
      <c r="T183" s="194">
        <v>0</v>
      </c>
      <c r="U183" s="195">
        <v>115</v>
      </c>
      <c r="V183" s="196">
        <v>20</v>
      </c>
      <c r="W183" s="219">
        <v>0</v>
      </c>
      <c r="X183" s="220">
        <v>0</v>
      </c>
      <c r="Y183" s="199">
        <f t="shared" si="150"/>
        <v>242</v>
      </c>
      <c r="Z183" s="200">
        <f t="shared" si="151"/>
        <v>377</v>
      </c>
      <c r="AA183" s="193">
        <v>83</v>
      </c>
      <c r="AB183" s="194">
        <v>19</v>
      </c>
      <c r="AC183" s="195">
        <v>89</v>
      </c>
      <c r="AD183" s="201">
        <v>0</v>
      </c>
      <c r="AE183" s="221">
        <v>0</v>
      </c>
      <c r="AF183" s="220">
        <v>14</v>
      </c>
      <c r="AG183" s="199">
        <f t="shared" si="152"/>
        <v>205</v>
      </c>
      <c r="AH183" s="200">
        <f t="shared" si="153"/>
        <v>308</v>
      </c>
      <c r="AI183" s="203">
        <f t="shared" si="145"/>
        <v>447</v>
      </c>
      <c r="AJ183" s="204">
        <f t="shared" si="145"/>
        <v>685</v>
      </c>
      <c r="AK183" s="193">
        <v>0</v>
      </c>
      <c r="AL183" s="194">
        <v>0</v>
      </c>
      <c r="AM183" s="195">
        <v>0</v>
      </c>
      <c r="AN183" s="196">
        <v>0</v>
      </c>
      <c r="AO183" s="219">
        <v>0</v>
      </c>
      <c r="AP183" s="220">
        <v>0</v>
      </c>
      <c r="AQ183" s="205">
        <f t="shared" si="154"/>
        <v>0</v>
      </c>
      <c r="AR183" s="206">
        <f t="shared" si="155"/>
        <v>0</v>
      </c>
      <c r="AS183" s="193">
        <v>0</v>
      </c>
      <c r="AT183" s="194">
        <v>0</v>
      </c>
      <c r="AU183" s="195">
        <v>0</v>
      </c>
      <c r="AV183" s="196">
        <v>0</v>
      </c>
      <c r="AW183" s="219">
        <v>0</v>
      </c>
      <c r="AX183" s="220">
        <v>0</v>
      </c>
      <c r="AY183" s="205">
        <f t="shared" si="156"/>
        <v>0</v>
      </c>
      <c r="AZ183" s="206">
        <f t="shared" si="157"/>
        <v>0</v>
      </c>
      <c r="BA183" s="207">
        <f t="shared" si="146"/>
        <v>0</v>
      </c>
      <c r="BB183" s="204">
        <f t="shared" si="146"/>
        <v>0</v>
      </c>
      <c r="BC183" s="208">
        <f t="shared" si="147"/>
        <v>242</v>
      </c>
      <c r="BD183" s="209">
        <f t="shared" si="147"/>
        <v>377</v>
      </c>
      <c r="BE183" s="210">
        <f t="shared" si="148"/>
        <v>205</v>
      </c>
      <c r="BF183" s="211">
        <f t="shared" si="148"/>
        <v>308</v>
      </c>
      <c r="BG183" s="212">
        <f t="shared" si="149"/>
        <v>447</v>
      </c>
      <c r="BH183" s="213">
        <f t="shared" si="149"/>
        <v>685</v>
      </c>
    </row>
    <row r="184" spans="1:60" ht="21.6" thickBot="1" x14ac:dyDescent="0.35">
      <c r="A184" s="214" t="s">
        <v>667</v>
      </c>
      <c r="B184" s="306">
        <v>8</v>
      </c>
      <c r="C184" s="180">
        <v>26</v>
      </c>
      <c r="D184" s="215" t="s">
        <v>79</v>
      </c>
      <c r="E184" s="182" t="s">
        <v>777</v>
      </c>
      <c r="F184" s="183" t="s">
        <v>760</v>
      </c>
      <c r="G184" s="216" t="s">
        <v>778</v>
      </c>
      <c r="H184" s="217" t="s">
        <v>779</v>
      </c>
      <c r="I184" s="217" t="s">
        <v>780</v>
      </c>
      <c r="J184" s="218">
        <v>45838.1875</v>
      </c>
      <c r="K184" s="223">
        <f t="shared" si="133"/>
        <v>0.47569444444525288</v>
      </c>
      <c r="L184" s="222">
        <v>0</v>
      </c>
      <c r="M184" s="189">
        <f t="shared" si="134"/>
        <v>0.47569444444525288</v>
      </c>
      <c r="N184" s="189">
        <f t="shared" si="135"/>
        <v>0.52430555555474712</v>
      </c>
      <c r="O184" s="190">
        <f t="shared" si="136"/>
        <v>54.744525547352218</v>
      </c>
      <c r="P184" s="190">
        <f t="shared" si="137"/>
        <v>54.744525547352218</v>
      </c>
      <c r="Q184" s="191">
        <f t="shared" si="138"/>
        <v>49.668874172262015</v>
      </c>
      <c r="R184" s="192" t="s">
        <v>71</v>
      </c>
      <c r="S184" s="193">
        <v>120</v>
      </c>
      <c r="T184" s="194">
        <v>2</v>
      </c>
      <c r="U184" s="195">
        <v>166</v>
      </c>
      <c r="V184" s="196">
        <v>27</v>
      </c>
      <c r="W184" s="219">
        <v>0</v>
      </c>
      <c r="X184" s="220">
        <v>2</v>
      </c>
      <c r="Y184" s="199">
        <f t="shared" si="150"/>
        <v>317</v>
      </c>
      <c r="Z184" s="200">
        <f t="shared" si="151"/>
        <v>512</v>
      </c>
      <c r="AA184" s="193">
        <v>85</v>
      </c>
      <c r="AB184" s="194">
        <v>49</v>
      </c>
      <c r="AC184" s="195">
        <v>124</v>
      </c>
      <c r="AD184" s="201">
        <v>46</v>
      </c>
      <c r="AE184" s="221">
        <v>0</v>
      </c>
      <c r="AF184" s="220">
        <v>4</v>
      </c>
      <c r="AG184" s="199">
        <f t="shared" si="152"/>
        <v>308</v>
      </c>
      <c r="AH184" s="200">
        <f t="shared" si="153"/>
        <v>482</v>
      </c>
      <c r="AI184" s="203">
        <f t="shared" si="145"/>
        <v>625</v>
      </c>
      <c r="AJ184" s="204">
        <f t="shared" si="145"/>
        <v>994</v>
      </c>
      <c r="AK184" s="193">
        <v>0</v>
      </c>
      <c r="AL184" s="194">
        <v>0</v>
      </c>
      <c r="AM184" s="195">
        <v>0</v>
      </c>
      <c r="AN184" s="196">
        <v>0</v>
      </c>
      <c r="AO184" s="219">
        <v>0</v>
      </c>
      <c r="AP184" s="220">
        <v>0</v>
      </c>
      <c r="AQ184" s="205">
        <f t="shared" si="154"/>
        <v>0</v>
      </c>
      <c r="AR184" s="206">
        <f t="shared" si="155"/>
        <v>0</v>
      </c>
      <c r="AS184" s="193">
        <v>0</v>
      </c>
      <c r="AT184" s="194">
        <v>0</v>
      </c>
      <c r="AU184" s="195">
        <v>0</v>
      </c>
      <c r="AV184" s="196">
        <v>0</v>
      </c>
      <c r="AW184" s="219">
        <v>0</v>
      </c>
      <c r="AX184" s="220">
        <v>0</v>
      </c>
      <c r="AY184" s="205">
        <f t="shared" si="156"/>
        <v>0</v>
      </c>
      <c r="AZ184" s="206">
        <f t="shared" si="157"/>
        <v>0</v>
      </c>
      <c r="BA184" s="207">
        <f t="shared" si="146"/>
        <v>0</v>
      </c>
      <c r="BB184" s="204">
        <f t="shared" si="146"/>
        <v>0</v>
      </c>
      <c r="BC184" s="208">
        <f t="shared" si="147"/>
        <v>317</v>
      </c>
      <c r="BD184" s="209">
        <f t="shared" si="147"/>
        <v>512</v>
      </c>
      <c r="BE184" s="210">
        <f t="shared" si="148"/>
        <v>308</v>
      </c>
      <c r="BF184" s="211">
        <f t="shared" si="148"/>
        <v>482</v>
      </c>
      <c r="BG184" s="212">
        <f t="shared" si="149"/>
        <v>625</v>
      </c>
      <c r="BH184" s="213">
        <f t="shared" si="149"/>
        <v>994</v>
      </c>
    </row>
    <row r="185" spans="1:60" ht="21.6" hidden="1" thickBot="1" x14ac:dyDescent="0.35">
      <c r="A185" s="214" t="s">
        <v>667</v>
      </c>
      <c r="B185" s="306" t="s">
        <v>781</v>
      </c>
      <c r="C185" s="180"/>
      <c r="D185" s="215">
        <v>0</v>
      </c>
      <c r="E185" s="182">
        <v>0</v>
      </c>
      <c r="F185" s="183">
        <v>0</v>
      </c>
      <c r="G185" s="216">
        <v>0</v>
      </c>
      <c r="H185" s="217">
        <v>0</v>
      </c>
      <c r="I185" s="217">
        <v>0</v>
      </c>
      <c r="J185" s="218">
        <v>0</v>
      </c>
      <c r="K185" s="223">
        <v>0</v>
      </c>
      <c r="L185" s="222">
        <v>0</v>
      </c>
      <c r="M185" s="229">
        <v>0</v>
      </c>
      <c r="N185" s="229">
        <v>0</v>
      </c>
      <c r="O185" s="230">
        <v>0</v>
      </c>
      <c r="P185" s="230">
        <v>0</v>
      </c>
      <c r="Q185" s="231">
        <v>0</v>
      </c>
      <c r="R185" s="192">
        <v>0</v>
      </c>
      <c r="S185" s="193">
        <v>0</v>
      </c>
      <c r="T185" s="194">
        <v>0</v>
      </c>
      <c r="U185" s="195">
        <v>0</v>
      </c>
      <c r="V185" s="196">
        <v>0</v>
      </c>
      <c r="W185" s="219">
        <v>0</v>
      </c>
      <c r="X185" s="220">
        <v>0</v>
      </c>
      <c r="Y185" s="199">
        <f t="shared" si="150"/>
        <v>0</v>
      </c>
      <c r="Z185" s="200">
        <f t="shared" si="151"/>
        <v>0</v>
      </c>
      <c r="AA185" s="193">
        <v>0</v>
      </c>
      <c r="AB185" s="194">
        <v>0</v>
      </c>
      <c r="AC185" s="195">
        <v>0</v>
      </c>
      <c r="AD185" s="201">
        <v>0</v>
      </c>
      <c r="AE185" s="221">
        <v>0</v>
      </c>
      <c r="AF185" s="220">
        <v>0</v>
      </c>
      <c r="AG185" s="199">
        <f t="shared" si="152"/>
        <v>0</v>
      </c>
      <c r="AH185" s="200">
        <f t="shared" si="153"/>
        <v>0</v>
      </c>
      <c r="AI185" s="203">
        <f t="shared" si="145"/>
        <v>0</v>
      </c>
      <c r="AJ185" s="204">
        <f t="shared" si="145"/>
        <v>0</v>
      </c>
      <c r="AK185" s="193">
        <v>0</v>
      </c>
      <c r="AL185" s="194">
        <v>0</v>
      </c>
      <c r="AM185" s="195">
        <v>0</v>
      </c>
      <c r="AN185" s="196">
        <v>0</v>
      </c>
      <c r="AO185" s="219">
        <v>0</v>
      </c>
      <c r="AP185" s="220">
        <v>0</v>
      </c>
      <c r="AQ185" s="205">
        <f t="shared" si="154"/>
        <v>0</v>
      </c>
      <c r="AR185" s="206">
        <f t="shared" si="155"/>
        <v>0</v>
      </c>
      <c r="AS185" s="193">
        <v>0</v>
      </c>
      <c r="AT185" s="194">
        <v>0</v>
      </c>
      <c r="AU185" s="195">
        <v>0</v>
      </c>
      <c r="AV185" s="196">
        <v>0</v>
      </c>
      <c r="AW185" s="219">
        <v>0</v>
      </c>
      <c r="AX185" s="220">
        <v>0</v>
      </c>
      <c r="AY185" s="205">
        <f t="shared" si="156"/>
        <v>0</v>
      </c>
      <c r="AZ185" s="206">
        <f t="shared" si="157"/>
        <v>0</v>
      </c>
      <c r="BA185" s="207">
        <f t="shared" si="146"/>
        <v>0</v>
      </c>
      <c r="BB185" s="204">
        <f t="shared" si="146"/>
        <v>0</v>
      </c>
      <c r="BC185" s="208">
        <f t="shared" si="147"/>
        <v>0</v>
      </c>
      <c r="BD185" s="209">
        <f t="shared" si="147"/>
        <v>0</v>
      </c>
      <c r="BE185" s="210">
        <f t="shared" si="148"/>
        <v>0</v>
      </c>
      <c r="BF185" s="211">
        <f t="shared" si="148"/>
        <v>0</v>
      </c>
      <c r="BG185" s="212">
        <f t="shared" si="149"/>
        <v>0</v>
      </c>
      <c r="BH185" s="213">
        <f t="shared" si="149"/>
        <v>0</v>
      </c>
    </row>
    <row r="186" spans="1:60" ht="21.6" hidden="1" thickBot="1" x14ac:dyDescent="0.35">
      <c r="A186" s="214" t="s">
        <v>667</v>
      </c>
      <c r="B186" s="228"/>
      <c r="C186" s="180"/>
      <c r="D186" s="215"/>
      <c r="E186" s="182"/>
      <c r="F186" s="183"/>
      <c r="G186" s="216"/>
      <c r="H186" s="217"/>
      <c r="I186" s="217"/>
      <c r="J186" s="218"/>
      <c r="K186" s="223">
        <f>I186-H186</f>
        <v>0</v>
      </c>
      <c r="L186" s="222"/>
      <c r="M186" s="229"/>
      <c r="N186" s="229">
        <f>J186-G186</f>
        <v>0</v>
      </c>
      <c r="O186" s="230"/>
      <c r="P186" s="230"/>
      <c r="Q186" s="231"/>
      <c r="R186" s="192"/>
      <c r="S186" s="193"/>
      <c r="T186" s="194"/>
      <c r="U186" s="195"/>
      <c r="V186" s="196"/>
      <c r="W186" s="232"/>
      <c r="X186" s="233"/>
      <c r="Y186" s="199">
        <f>SUM(S186:X186)</f>
        <v>0</v>
      </c>
      <c r="Z186" s="200">
        <f>Y186+SUM(U186:V186)+X186</f>
        <v>0</v>
      </c>
      <c r="AA186" s="193"/>
      <c r="AB186" s="194"/>
      <c r="AC186" s="195"/>
      <c r="AD186" s="201"/>
      <c r="AE186" s="234"/>
      <c r="AF186" s="233"/>
      <c r="AG186" s="199">
        <f>SUM(AA186:AF186)</f>
        <v>0</v>
      </c>
      <c r="AH186" s="200">
        <f>AG186+SUM(AC186:AD186)+AF186</f>
        <v>0</v>
      </c>
      <c r="AI186" s="203">
        <f t="shared" si="145"/>
        <v>0</v>
      </c>
      <c r="AJ186" s="204">
        <f t="shared" si="145"/>
        <v>0</v>
      </c>
      <c r="AK186" s="193"/>
      <c r="AL186" s="194"/>
      <c r="AM186" s="195"/>
      <c r="AN186" s="196"/>
      <c r="AO186" s="232"/>
      <c r="AP186" s="233"/>
      <c r="AQ186" s="205">
        <f>SUM(AK186:AP186)</f>
        <v>0</v>
      </c>
      <c r="AR186" s="206">
        <f>AQ186+SUM(AM186:AN186)+AP186</f>
        <v>0</v>
      </c>
      <c r="AS186" s="193"/>
      <c r="AT186" s="194"/>
      <c r="AU186" s="195"/>
      <c r="AV186" s="196"/>
      <c r="AW186" s="232"/>
      <c r="AX186" s="233"/>
      <c r="AY186" s="205">
        <f>SUM(AS186:AX186)</f>
        <v>0</v>
      </c>
      <c r="AZ186" s="206">
        <f>AY186+SUM(AU186:AV186)+AX186</f>
        <v>0</v>
      </c>
      <c r="BA186" s="207">
        <f t="shared" si="146"/>
        <v>0</v>
      </c>
      <c r="BB186" s="204">
        <f t="shared" si="146"/>
        <v>0</v>
      </c>
      <c r="BC186" s="208">
        <f t="shared" si="147"/>
        <v>0</v>
      </c>
      <c r="BD186" s="209">
        <f t="shared" si="147"/>
        <v>0</v>
      </c>
      <c r="BE186" s="210">
        <f t="shared" si="148"/>
        <v>0</v>
      </c>
      <c r="BF186" s="211">
        <f t="shared" si="148"/>
        <v>0</v>
      </c>
      <c r="BG186" s="212">
        <f t="shared" si="149"/>
        <v>0</v>
      </c>
      <c r="BH186" s="213">
        <f t="shared" si="149"/>
        <v>0</v>
      </c>
    </row>
    <row r="187" spans="1:60" ht="21.6" hidden="1" thickBot="1" x14ac:dyDescent="0.35">
      <c r="A187" s="235" t="s">
        <v>667</v>
      </c>
      <c r="B187" s="228"/>
      <c r="C187" s="180"/>
      <c r="D187" s="215"/>
      <c r="E187" s="182"/>
      <c r="F187" s="183"/>
      <c r="G187" s="236"/>
      <c r="H187" s="237"/>
      <c r="I187" s="237"/>
      <c r="J187" s="238"/>
      <c r="K187" s="223">
        <f>I187-H187</f>
        <v>0</v>
      </c>
      <c r="L187" s="222"/>
      <c r="M187" s="229"/>
      <c r="N187" s="229">
        <f>J187-G187</f>
        <v>0</v>
      </c>
      <c r="O187" s="230"/>
      <c r="P187" s="230"/>
      <c r="Q187" s="231"/>
      <c r="R187" s="192"/>
      <c r="S187" s="239"/>
      <c r="T187" s="240"/>
      <c r="U187" s="241"/>
      <c r="V187" s="242"/>
      <c r="W187" s="243"/>
      <c r="X187" s="244"/>
      <c r="Y187" s="245">
        <f>SUM(S187:X187)</f>
        <v>0</v>
      </c>
      <c r="Z187" s="200">
        <f>Y187+SUM(U187:V187)+X187</f>
        <v>0</v>
      </c>
      <c r="AA187" s="239"/>
      <c r="AB187" s="240"/>
      <c r="AC187" s="241"/>
      <c r="AD187" s="246"/>
      <c r="AE187" s="247"/>
      <c r="AF187" s="244"/>
      <c r="AG187" s="245">
        <f>SUM(AA187:AF187)</f>
        <v>0</v>
      </c>
      <c r="AH187" s="200">
        <f>AG187+SUM(AC187:AD187)+AF187</f>
        <v>0</v>
      </c>
      <c r="AI187" s="248">
        <f t="shared" si="145"/>
        <v>0</v>
      </c>
      <c r="AJ187" s="249">
        <f t="shared" si="145"/>
        <v>0</v>
      </c>
      <c r="AK187" s="193"/>
      <c r="AL187" s="194"/>
      <c r="AM187" s="195"/>
      <c r="AN187" s="196"/>
      <c r="AO187" s="243"/>
      <c r="AP187" s="244"/>
      <c r="AQ187" s="205">
        <f>SUM(AK187:AP187)</f>
        <v>0</v>
      </c>
      <c r="AR187" s="206">
        <f>AQ187+SUM(AM187:AN187)+AP187</f>
        <v>0</v>
      </c>
      <c r="AS187" s="193"/>
      <c r="AT187" s="194"/>
      <c r="AU187" s="195"/>
      <c r="AV187" s="196"/>
      <c r="AW187" s="243"/>
      <c r="AX187" s="244"/>
      <c r="AY187" s="205">
        <f>SUM(AS187:AX187)</f>
        <v>0</v>
      </c>
      <c r="AZ187" s="206">
        <f>AY187+SUM(AU187:AV187)+AX187</f>
        <v>0</v>
      </c>
      <c r="BA187" s="207">
        <f t="shared" si="146"/>
        <v>0</v>
      </c>
      <c r="BB187" s="204">
        <f t="shared" si="146"/>
        <v>0</v>
      </c>
      <c r="BC187" s="208">
        <f t="shared" si="147"/>
        <v>0</v>
      </c>
      <c r="BD187" s="209">
        <f t="shared" si="147"/>
        <v>0</v>
      </c>
      <c r="BE187" s="210">
        <f t="shared" si="148"/>
        <v>0</v>
      </c>
      <c r="BF187" s="211">
        <f t="shared" si="148"/>
        <v>0</v>
      </c>
      <c r="BG187" s="212">
        <f t="shared" si="149"/>
        <v>0</v>
      </c>
      <c r="BH187" s="213">
        <f t="shared" si="149"/>
        <v>0</v>
      </c>
    </row>
    <row r="188" spans="1:60" s="153" customFormat="1" ht="23.4" thickBot="1" x14ac:dyDescent="0.35">
      <c r="A188" s="317" t="s">
        <v>782</v>
      </c>
      <c r="B188" s="317" t="s">
        <v>782</v>
      </c>
      <c r="C188" s="324" t="s">
        <v>2</v>
      </c>
      <c r="D188" s="252" t="s">
        <v>783</v>
      </c>
      <c r="E188" s="318" t="s">
        <v>534</v>
      </c>
      <c r="F188" s="159" t="s">
        <v>5</v>
      </c>
      <c r="G188" s="160" t="s">
        <v>6</v>
      </c>
      <c r="H188" s="161" t="s">
        <v>7</v>
      </c>
      <c r="I188" s="161" t="s">
        <v>8</v>
      </c>
      <c r="J188" s="162" t="s">
        <v>9</v>
      </c>
      <c r="K188" s="163" t="s">
        <v>38</v>
      </c>
      <c r="L188" s="164" t="s">
        <v>38</v>
      </c>
      <c r="M188" s="165" t="s">
        <v>38</v>
      </c>
      <c r="N188" s="166" t="s">
        <v>38</v>
      </c>
      <c r="O188" s="165" t="s">
        <v>39</v>
      </c>
      <c r="P188" s="165" t="s">
        <v>39</v>
      </c>
      <c r="Q188" s="254" t="s">
        <v>39</v>
      </c>
      <c r="R188" s="319" t="s">
        <v>17</v>
      </c>
      <c r="S188" s="169">
        <f t="shared" ref="S188:X188" si="158">SUM(S189:S217)</f>
        <v>3183</v>
      </c>
      <c r="T188" s="170">
        <f t="shared" si="158"/>
        <v>350</v>
      </c>
      <c r="U188" s="171">
        <f t="shared" si="158"/>
        <v>2751</v>
      </c>
      <c r="V188" s="172">
        <f t="shared" si="158"/>
        <v>713</v>
      </c>
      <c r="W188" s="173">
        <f t="shared" si="158"/>
        <v>0</v>
      </c>
      <c r="X188" s="174">
        <f t="shared" si="158"/>
        <v>30</v>
      </c>
      <c r="Y188" s="169">
        <f>SUM(S188:X188)</f>
        <v>7027</v>
      </c>
      <c r="Z188" s="175">
        <f>Y188+SUM(U188:V188)+X188</f>
        <v>10521</v>
      </c>
      <c r="AA188" s="169">
        <f t="shared" ref="AA188:AF188" si="159">SUM(AA189:AA217)</f>
        <v>2246</v>
      </c>
      <c r="AB188" s="170">
        <f t="shared" si="159"/>
        <v>817</v>
      </c>
      <c r="AC188" s="171">
        <f t="shared" si="159"/>
        <v>2799</v>
      </c>
      <c r="AD188" s="320">
        <f t="shared" si="159"/>
        <v>500</v>
      </c>
      <c r="AE188" s="321">
        <f t="shared" si="159"/>
        <v>1</v>
      </c>
      <c r="AF188" s="174">
        <f t="shared" si="159"/>
        <v>208</v>
      </c>
      <c r="AG188" s="169">
        <f>SUM(AA188:AF188)</f>
        <v>6571</v>
      </c>
      <c r="AH188" s="175">
        <f>AG188+SUM(AC188:AD188)+AF188</f>
        <v>10078</v>
      </c>
      <c r="AI188" s="169">
        <f t="shared" si="145"/>
        <v>13598</v>
      </c>
      <c r="AJ188" s="175">
        <f t="shared" si="145"/>
        <v>20599</v>
      </c>
      <c r="AK188" s="169">
        <f t="shared" ref="AK188:AP188" si="160">SUM(AK189:AK217)</f>
        <v>16</v>
      </c>
      <c r="AL188" s="170">
        <f t="shared" si="160"/>
        <v>0</v>
      </c>
      <c r="AM188" s="171">
        <f t="shared" si="160"/>
        <v>233</v>
      </c>
      <c r="AN188" s="172">
        <f t="shared" si="160"/>
        <v>16</v>
      </c>
      <c r="AO188" s="173">
        <f t="shared" si="160"/>
        <v>0</v>
      </c>
      <c r="AP188" s="174">
        <f t="shared" si="160"/>
        <v>0</v>
      </c>
      <c r="AQ188" s="169">
        <f>SUM(AK188:AP188)</f>
        <v>265</v>
      </c>
      <c r="AR188" s="170">
        <f>AQ188+SUM(AM188:AN188)+AP188</f>
        <v>514</v>
      </c>
      <c r="AS188" s="169">
        <f t="shared" ref="AS188:AX188" si="161">SUM(AS189:AS217)</f>
        <v>16</v>
      </c>
      <c r="AT188" s="170">
        <f t="shared" si="161"/>
        <v>0</v>
      </c>
      <c r="AU188" s="171">
        <f t="shared" si="161"/>
        <v>233</v>
      </c>
      <c r="AV188" s="320">
        <f t="shared" si="161"/>
        <v>16</v>
      </c>
      <c r="AW188" s="321">
        <f t="shared" si="161"/>
        <v>0</v>
      </c>
      <c r="AX188" s="174">
        <f t="shared" si="161"/>
        <v>0</v>
      </c>
      <c r="AY188" s="169">
        <f>SUM(AS188:AX188)</f>
        <v>265</v>
      </c>
      <c r="AZ188" s="170">
        <f>AY188+SUM(AU188:AV188)+AX188</f>
        <v>514</v>
      </c>
      <c r="BA188" s="169">
        <f t="shared" si="146"/>
        <v>530</v>
      </c>
      <c r="BB188" s="170">
        <f t="shared" si="146"/>
        <v>1028</v>
      </c>
      <c r="BC188" s="169">
        <f t="shared" si="147"/>
        <v>7292</v>
      </c>
      <c r="BD188" s="170">
        <f t="shared" si="147"/>
        <v>11035</v>
      </c>
      <c r="BE188" s="169">
        <f t="shared" si="148"/>
        <v>6836</v>
      </c>
      <c r="BF188" s="176">
        <f t="shared" si="148"/>
        <v>10592</v>
      </c>
      <c r="BG188" s="169">
        <f t="shared" si="149"/>
        <v>14128</v>
      </c>
      <c r="BH188" s="170">
        <f t="shared" si="149"/>
        <v>21627</v>
      </c>
    </row>
    <row r="189" spans="1:60" ht="21" x14ac:dyDescent="0.3">
      <c r="A189" s="178" t="s">
        <v>782</v>
      </c>
      <c r="B189" s="306">
        <v>1</v>
      </c>
      <c r="C189" s="180">
        <v>1</v>
      </c>
      <c r="D189" s="215" t="s">
        <v>72</v>
      </c>
      <c r="E189" s="182" t="s">
        <v>784</v>
      </c>
      <c r="F189" s="183" t="s">
        <v>615</v>
      </c>
      <c r="G189" s="216" t="s">
        <v>785</v>
      </c>
      <c r="H189" s="217" t="s">
        <v>786</v>
      </c>
      <c r="I189" s="217" t="s">
        <v>787</v>
      </c>
      <c r="J189" s="218">
        <v>45840.145833333336</v>
      </c>
      <c r="K189" s="223">
        <f t="shared" ref="K189:K215" si="162">I189-H189</f>
        <v>1.2305555555503815</v>
      </c>
      <c r="L189" s="222">
        <v>0.86458333332848269</v>
      </c>
      <c r="M189" s="189">
        <f t="shared" ref="M189:M215" si="163">K189-L189</f>
        <v>0.36597222222189885</v>
      </c>
      <c r="N189" s="189">
        <f t="shared" ref="N189:N215" si="164">J189-G189</f>
        <v>1.3958333333357587</v>
      </c>
      <c r="O189" s="190">
        <f t="shared" ref="O189:O215" si="165">BG189/M189/24</f>
        <v>29.032258064541782</v>
      </c>
      <c r="P189" s="190">
        <f t="shared" ref="P189:P215" si="166">BG189/K189/24</f>
        <v>8.6343115124516547</v>
      </c>
      <c r="Q189" s="191">
        <f t="shared" ref="Q189:Q215" si="167">BG189/N189/24</f>
        <v>7.6119402984942361</v>
      </c>
      <c r="R189" s="192" t="s">
        <v>57</v>
      </c>
      <c r="S189" s="193">
        <v>49</v>
      </c>
      <c r="T189" s="194">
        <v>1</v>
      </c>
      <c r="U189" s="195">
        <v>26</v>
      </c>
      <c r="V189" s="196">
        <v>1</v>
      </c>
      <c r="W189" s="219">
        <v>0</v>
      </c>
      <c r="X189" s="220">
        <v>0</v>
      </c>
      <c r="Y189" s="199">
        <f>SUM(S189:X189)</f>
        <v>77</v>
      </c>
      <c r="Z189" s="200">
        <f>Y189+SUM(U189:V189)+X189</f>
        <v>104</v>
      </c>
      <c r="AA189" s="193">
        <v>59</v>
      </c>
      <c r="AB189" s="194">
        <v>21</v>
      </c>
      <c r="AC189" s="195">
        <v>68</v>
      </c>
      <c r="AD189" s="201">
        <v>30</v>
      </c>
      <c r="AE189" s="221">
        <v>0</v>
      </c>
      <c r="AF189" s="220">
        <v>0</v>
      </c>
      <c r="AG189" s="199">
        <f>SUM(AA189:AF189)</f>
        <v>178</v>
      </c>
      <c r="AH189" s="200">
        <f>AG189+SUM(AC189:AD189)+AF189</f>
        <v>276</v>
      </c>
      <c r="AI189" s="203">
        <f t="shared" si="145"/>
        <v>255</v>
      </c>
      <c r="AJ189" s="204">
        <f t="shared" si="145"/>
        <v>380</v>
      </c>
      <c r="AK189" s="193">
        <v>0</v>
      </c>
      <c r="AL189" s="194">
        <v>0</v>
      </c>
      <c r="AM189" s="195">
        <v>0</v>
      </c>
      <c r="AN189" s="196">
        <v>0</v>
      </c>
      <c r="AO189" s="219">
        <v>0</v>
      </c>
      <c r="AP189" s="220">
        <v>0</v>
      </c>
      <c r="AQ189" s="205">
        <f>SUM(AK189:AP189)</f>
        <v>0</v>
      </c>
      <c r="AR189" s="206">
        <f>AQ189+SUM(AM189:AN189)+AP189</f>
        <v>0</v>
      </c>
      <c r="AS189" s="193">
        <v>0</v>
      </c>
      <c r="AT189" s="194">
        <v>0</v>
      </c>
      <c r="AU189" s="195">
        <v>0</v>
      </c>
      <c r="AV189" s="196">
        <v>0</v>
      </c>
      <c r="AW189" s="219">
        <v>0</v>
      </c>
      <c r="AX189" s="220">
        <v>0</v>
      </c>
      <c r="AY189" s="205">
        <f>SUM(AS189:AX189)</f>
        <v>0</v>
      </c>
      <c r="AZ189" s="206">
        <f>AY189+SUM(AU189:AV189)+AX189</f>
        <v>0</v>
      </c>
      <c r="BA189" s="207">
        <f t="shared" si="146"/>
        <v>0</v>
      </c>
      <c r="BB189" s="204">
        <f t="shared" si="146"/>
        <v>0</v>
      </c>
      <c r="BC189" s="208">
        <f t="shared" si="147"/>
        <v>77</v>
      </c>
      <c r="BD189" s="209">
        <f t="shared" si="147"/>
        <v>104</v>
      </c>
      <c r="BE189" s="210">
        <f t="shared" si="148"/>
        <v>178</v>
      </c>
      <c r="BF189" s="211">
        <f t="shared" si="148"/>
        <v>276</v>
      </c>
      <c r="BG189" s="212">
        <f t="shared" si="149"/>
        <v>255</v>
      </c>
      <c r="BH189" s="213">
        <f t="shared" si="149"/>
        <v>380</v>
      </c>
    </row>
    <row r="190" spans="1:60" ht="21" x14ac:dyDescent="0.3">
      <c r="A190" s="214" t="s">
        <v>782</v>
      </c>
      <c r="B190" s="306">
        <v>2</v>
      </c>
      <c r="C190" s="180">
        <v>2</v>
      </c>
      <c r="D190" s="215" t="s">
        <v>51</v>
      </c>
      <c r="E190" s="182" t="s">
        <v>788</v>
      </c>
      <c r="F190" s="183" t="s">
        <v>760</v>
      </c>
      <c r="G190" s="216" t="s">
        <v>789</v>
      </c>
      <c r="H190" s="217" t="s">
        <v>790</v>
      </c>
      <c r="I190" s="217" t="s">
        <v>791</v>
      </c>
      <c r="J190" s="218">
        <v>45841.708333333336</v>
      </c>
      <c r="K190" s="223">
        <f t="shared" si="162"/>
        <v>0.81805555555183673</v>
      </c>
      <c r="L190" s="222">
        <v>0.24652777778101154</v>
      </c>
      <c r="M190" s="189">
        <f t="shared" si="163"/>
        <v>0.5715277777708252</v>
      </c>
      <c r="N190" s="189">
        <f t="shared" si="164"/>
        <v>0.89236111111677019</v>
      </c>
      <c r="O190" s="190">
        <f t="shared" si="165"/>
        <v>41.992709599538784</v>
      </c>
      <c r="P190" s="190">
        <f t="shared" si="166"/>
        <v>29.337860781118085</v>
      </c>
      <c r="Q190" s="191">
        <f t="shared" si="167"/>
        <v>26.894941634070687</v>
      </c>
      <c r="R190" s="192" t="s">
        <v>57</v>
      </c>
      <c r="S190" s="193">
        <v>113</v>
      </c>
      <c r="T190" s="194">
        <v>0</v>
      </c>
      <c r="U190" s="195">
        <v>45</v>
      </c>
      <c r="V190" s="196">
        <v>0</v>
      </c>
      <c r="W190" s="219">
        <v>0</v>
      </c>
      <c r="X190" s="220">
        <v>0</v>
      </c>
      <c r="Y190" s="199">
        <f t="shared" ref="Y190:Y217" si="168">SUM(S190:X190)</f>
        <v>158</v>
      </c>
      <c r="Z190" s="200">
        <f t="shared" ref="Z190:Z217" si="169">Y190+SUM(U190:V190)+X190</f>
        <v>203</v>
      </c>
      <c r="AA190" s="193">
        <v>70</v>
      </c>
      <c r="AB190" s="194">
        <v>10</v>
      </c>
      <c r="AC190" s="195">
        <v>30</v>
      </c>
      <c r="AD190" s="201">
        <v>0</v>
      </c>
      <c r="AE190" s="221">
        <v>0</v>
      </c>
      <c r="AF190" s="220">
        <v>0</v>
      </c>
      <c r="AG190" s="199">
        <f t="shared" ref="AG190:AG217" si="170">SUM(AA190:AF190)</f>
        <v>110</v>
      </c>
      <c r="AH190" s="200">
        <f t="shared" ref="AH190:AH217" si="171">AG190+SUM(AC190:AD190)+AF190</f>
        <v>140</v>
      </c>
      <c r="AI190" s="203">
        <f t="shared" si="145"/>
        <v>268</v>
      </c>
      <c r="AJ190" s="204">
        <f t="shared" si="145"/>
        <v>343</v>
      </c>
      <c r="AK190" s="193">
        <v>13</v>
      </c>
      <c r="AL190" s="194">
        <v>0</v>
      </c>
      <c r="AM190" s="195">
        <v>141</v>
      </c>
      <c r="AN190" s="196">
        <v>0</v>
      </c>
      <c r="AO190" s="219">
        <v>0</v>
      </c>
      <c r="AP190" s="220">
        <v>0</v>
      </c>
      <c r="AQ190" s="205">
        <f t="shared" ref="AQ190:AQ217" si="172">SUM(AK190:AP190)</f>
        <v>154</v>
      </c>
      <c r="AR190" s="206">
        <f t="shared" ref="AR190:AR217" si="173">AQ190+SUM(AM190:AN190)+AP190</f>
        <v>295</v>
      </c>
      <c r="AS190" s="193">
        <v>13</v>
      </c>
      <c r="AT190" s="194">
        <v>0</v>
      </c>
      <c r="AU190" s="195">
        <v>141</v>
      </c>
      <c r="AV190" s="196">
        <v>0</v>
      </c>
      <c r="AW190" s="219">
        <v>0</v>
      </c>
      <c r="AX190" s="220">
        <v>0</v>
      </c>
      <c r="AY190" s="205">
        <f t="shared" ref="AY190:AY217" si="174">SUM(AS190:AX190)</f>
        <v>154</v>
      </c>
      <c r="AZ190" s="206">
        <f t="shared" ref="AZ190:AZ253" si="175">AY190+SUM(AU190:AV190)+AX190</f>
        <v>295</v>
      </c>
      <c r="BA190" s="207">
        <f t="shared" si="146"/>
        <v>308</v>
      </c>
      <c r="BB190" s="204">
        <f t="shared" si="146"/>
        <v>590</v>
      </c>
      <c r="BC190" s="208">
        <f t="shared" si="147"/>
        <v>312</v>
      </c>
      <c r="BD190" s="209">
        <f t="shared" si="147"/>
        <v>498</v>
      </c>
      <c r="BE190" s="210">
        <f t="shared" si="148"/>
        <v>264</v>
      </c>
      <c r="BF190" s="211">
        <f t="shared" si="148"/>
        <v>435</v>
      </c>
      <c r="BG190" s="212">
        <f t="shared" si="149"/>
        <v>576</v>
      </c>
      <c r="BH190" s="213">
        <f t="shared" si="149"/>
        <v>933</v>
      </c>
    </row>
    <row r="191" spans="1:60" ht="21" x14ac:dyDescent="0.3">
      <c r="A191" s="214" t="s">
        <v>782</v>
      </c>
      <c r="B191" s="306">
        <v>1</v>
      </c>
      <c r="C191" s="180">
        <v>3</v>
      </c>
      <c r="D191" s="215" t="s">
        <v>65</v>
      </c>
      <c r="E191" s="182" t="s">
        <v>792</v>
      </c>
      <c r="F191" s="183" t="s">
        <v>793</v>
      </c>
      <c r="G191" s="216" t="s">
        <v>794</v>
      </c>
      <c r="H191" s="217" t="s">
        <v>795</v>
      </c>
      <c r="I191" s="217" t="s">
        <v>796</v>
      </c>
      <c r="J191" s="218">
        <v>45841.729166666664</v>
      </c>
      <c r="K191" s="223">
        <f t="shared" si="162"/>
        <v>0.47013888888614019</v>
      </c>
      <c r="L191" s="222">
        <v>0</v>
      </c>
      <c r="M191" s="189">
        <f t="shared" si="163"/>
        <v>0.47013888888614019</v>
      </c>
      <c r="N191" s="189">
        <f t="shared" si="164"/>
        <v>0.48958333332848269</v>
      </c>
      <c r="O191" s="190">
        <f t="shared" si="165"/>
        <v>51.846381093360726</v>
      </c>
      <c r="P191" s="190">
        <f t="shared" si="166"/>
        <v>51.846381093360726</v>
      </c>
      <c r="Q191" s="191">
        <f t="shared" si="167"/>
        <v>49.787234043046475</v>
      </c>
      <c r="R191" s="192" t="s">
        <v>71</v>
      </c>
      <c r="S191" s="193">
        <v>111</v>
      </c>
      <c r="T191" s="194">
        <v>4</v>
      </c>
      <c r="U191" s="195">
        <v>164</v>
      </c>
      <c r="V191" s="196">
        <v>25</v>
      </c>
      <c r="W191" s="219">
        <v>0</v>
      </c>
      <c r="X191" s="220">
        <v>2</v>
      </c>
      <c r="Y191" s="199">
        <f t="shared" si="168"/>
        <v>306</v>
      </c>
      <c r="Z191" s="200">
        <f t="shared" si="169"/>
        <v>497</v>
      </c>
      <c r="AA191" s="193">
        <v>68</v>
      </c>
      <c r="AB191" s="194">
        <v>38</v>
      </c>
      <c r="AC191" s="195">
        <v>129</v>
      </c>
      <c r="AD191" s="201">
        <v>40</v>
      </c>
      <c r="AE191" s="221">
        <v>0</v>
      </c>
      <c r="AF191" s="220">
        <v>4</v>
      </c>
      <c r="AG191" s="199">
        <f t="shared" si="170"/>
        <v>279</v>
      </c>
      <c r="AH191" s="200">
        <f t="shared" si="171"/>
        <v>452</v>
      </c>
      <c r="AI191" s="203">
        <f t="shared" si="145"/>
        <v>585</v>
      </c>
      <c r="AJ191" s="204">
        <f t="shared" si="145"/>
        <v>949</v>
      </c>
      <c r="AK191" s="193">
        <v>0</v>
      </c>
      <c r="AL191" s="194">
        <v>0</v>
      </c>
      <c r="AM191" s="195">
        <v>0</v>
      </c>
      <c r="AN191" s="196">
        <v>0</v>
      </c>
      <c r="AO191" s="219">
        <v>0</v>
      </c>
      <c r="AP191" s="220">
        <v>0</v>
      </c>
      <c r="AQ191" s="205">
        <f t="shared" si="172"/>
        <v>0</v>
      </c>
      <c r="AR191" s="206">
        <f t="shared" si="173"/>
        <v>0</v>
      </c>
      <c r="AS191" s="193">
        <v>0</v>
      </c>
      <c r="AT191" s="194">
        <v>0</v>
      </c>
      <c r="AU191" s="195">
        <v>0</v>
      </c>
      <c r="AV191" s="196">
        <v>0</v>
      </c>
      <c r="AW191" s="219">
        <v>0</v>
      </c>
      <c r="AX191" s="220">
        <v>0</v>
      </c>
      <c r="AY191" s="205">
        <f t="shared" si="174"/>
        <v>0</v>
      </c>
      <c r="AZ191" s="206">
        <f t="shared" si="175"/>
        <v>0</v>
      </c>
      <c r="BA191" s="207">
        <f t="shared" si="146"/>
        <v>0</v>
      </c>
      <c r="BB191" s="204">
        <f t="shared" si="146"/>
        <v>0</v>
      </c>
      <c r="BC191" s="208">
        <f t="shared" si="147"/>
        <v>306</v>
      </c>
      <c r="BD191" s="209">
        <f t="shared" si="147"/>
        <v>497</v>
      </c>
      <c r="BE191" s="210">
        <f t="shared" si="148"/>
        <v>279</v>
      </c>
      <c r="BF191" s="211">
        <f t="shared" si="148"/>
        <v>452</v>
      </c>
      <c r="BG191" s="212">
        <f t="shared" si="149"/>
        <v>585</v>
      </c>
      <c r="BH191" s="213">
        <f t="shared" si="149"/>
        <v>949</v>
      </c>
    </row>
    <row r="192" spans="1:60" ht="21" x14ac:dyDescent="0.3">
      <c r="A192" s="214" t="s">
        <v>782</v>
      </c>
      <c r="B192" s="306">
        <v>3</v>
      </c>
      <c r="C192" s="180">
        <v>4</v>
      </c>
      <c r="D192" s="215" t="s">
        <v>231</v>
      </c>
      <c r="E192" s="182" t="s">
        <v>797</v>
      </c>
      <c r="F192" s="183" t="s">
        <v>678</v>
      </c>
      <c r="G192" s="216" t="s">
        <v>798</v>
      </c>
      <c r="H192" s="217" t="s">
        <v>799</v>
      </c>
      <c r="I192" s="217" t="s">
        <v>800</v>
      </c>
      <c r="J192" s="218">
        <v>45845.628472222219</v>
      </c>
      <c r="K192" s="223">
        <f t="shared" si="162"/>
        <v>0.65208333333430346</v>
      </c>
      <c r="L192" s="222">
        <v>0</v>
      </c>
      <c r="M192" s="189">
        <f t="shared" si="163"/>
        <v>0.65208333333430346</v>
      </c>
      <c r="N192" s="189">
        <f t="shared" si="164"/>
        <v>0.67708333332848269</v>
      </c>
      <c r="O192" s="190">
        <f t="shared" si="165"/>
        <v>34.313099041482495</v>
      </c>
      <c r="P192" s="190">
        <f t="shared" si="166"/>
        <v>34.313099041482495</v>
      </c>
      <c r="Q192" s="191">
        <f t="shared" si="167"/>
        <v>33.046153846390588</v>
      </c>
      <c r="R192" s="192" t="s">
        <v>57</v>
      </c>
      <c r="S192" s="193">
        <v>148</v>
      </c>
      <c r="T192" s="194">
        <v>0</v>
      </c>
      <c r="U192" s="195">
        <v>104</v>
      </c>
      <c r="V192" s="196">
        <v>11</v>
      </c>
      <c r="W192" s="219">
        <v>0</v>
      </c>
      <c r="X192" s="220">
        <v>0</v>
      </c>
      <c r="Y192" s="199">
        <f t="shared" si="168"/>
        <v>263</v>
      </c>
      <c r="Z192" s="200">
        <f t="shared" si="169"/>
        <v>378</v>
      </c>
      <c r="AA192" s="193">
        <v>98</v>
      </c>
      <c r="AB192" s="194">
        <v>74</v>
      </c>
      <c r="AC192" s="195">
        <v>90</v>
      </c>
      <c r="AD192" s="201">
        <v>0</v>
      </c>
      <c r="AE192" s="221">
        <v>1</v>
      </c>
      <c r="AF192" s="220">
        <v>11</v>
      </c>
      <c r="AG192" s="199">
        <f t="shared" si="170"/>
        <v>274</v>
      </c>
      <c r="AH192" s="200">
        <f t="shared" si="171"/>
        <v>375</v>
      </c>
      <c r="AI192" s="203">
        <f t="shared" si="145"/>
        <v>537</v>
      </c>
      <c r="AJ192" s="204">
        <f t="shared" si="145"/>
        <v>753</v>
      </c>
      <c r="AK192" s="193">
        <v>0</v>
      </c>
      <c r="AL192" s="194">
        <v>0</v>
      </c>
      <c r="AM192" s="195">
        <v>0</v>
      </c>
      <c r="AN192" s="196">
        <v>0</v>
      </c>
      <c r="AO192" s="219">
        <v>0</v>
      </c>
      <c r="AP192" s="220">
        <v>0</v>
      </c>
      <c r="AQ192" s="205">
        <f t="shared" si="172"/>
        <v>0</v>
      </c>
      <c r="AR192" s="206">
        <f t="shared" si="173"/>
        <v>0</v>
      </c>
      <c r="AS192" s="193">
        <v>0</v>
      </c>
      <c r="AT192" s="194">
        <v>0</v>
      </c>
      <c r="AU192" s="195">
        <v>0</v>
      </c>
      <c r="AV192" s="196">
        <v>0</v>
      </c>
      <c r="AW192" s="219">
        <v>0</v>
      </c>
      <c r="AX192" s="220">
        <v>0</v>
      </c>
      <c r="AY192" s="205">
        <f t="shared" si="174"/>
        <v>0</v>
      </c>
      <c r="AZ192" s="206">
        <f t="shared" si="175"/>
        <v>0</v>
      </c>
      <c r="BA192" s="207">
        <f t="shared" si="146"/>
        <v>0</v>
      </c>
      <c r="BB192" s="204">
        <f t="shared" si="146"/>
        <v>0</v>
      </c>
      <c r="BC192" s="208">
        <f t="shared" si="147"/>
        <v>263</v>
      </c>
      <c r="BD192" s="209">
        <f t="shared" si="147"/>
        <v>378</v>
      </c>
      <c r="BE192" s="210">
        <f t="shared" si="148"/>
        <v>274</v>
      </c>
      <c r="BF192" s="211">
        <f t="shared" si="148"/>
        <v>375</v>
      </c>
      <c r="BG192" s="212">
        <f t="shared" si="149"/>
        <v>537</v>
      </c>
      <c r="BH192" s="213">
        <f t="shared" si="149"/>
        <v>753</v>
      </c>
    </row>
    <row r="193" spans="1:60" ht="21" x14ac:dyDescent="0.3">
      <c r="A193" s="214" t="s">
        <v>782</v>
      </c>
      <c r="B193" s="306">
        <v>2</v>
      </c>
      <c r="C193" s="180">
        <v>5</v>
      </c>
      <c r="D193" s="215" t="s">
        <v>79</v>
      </c>
      <c r="E193" s="182" t="s">
        <v>801</v>
      </c>
      <c r="F193" s="183" t="s">
        <v>793</v>
      </c>
      <c r="G193" s="216" t="s">
        <v>802</v>
      </c>
      <c r="H193" s="217" t="s">
        <v>803</v>
      </c>
      <c r="I193" s="217" t="s">
        <v>804</v>
      </c>
      <c r="J193" s="218">
        <v>45845.642361111109</v>
      </c>
      <c r="K193" s="223">
        <f t="shared" si="162"/>
        <v>0.5430555555576575</v>
      </c>
      <c r="L193" s="222">
        <v>0</v>
      </c>
      <c r="M193" s="189">
        <f t="shared" si="163"/>
        <v>0.5430555555576575</v>
      </c>
      <c r="N193" s="189">
        <f t="shared" si="164"/>
        <v>0.56597222221898846</v>
      </c>
      <c r="O193" s="190">
        <f t="shared" si="165"/>
        <v>45.882352940998878</v>
      </c>
      <c r="P193" s="190">
        <f t="shared" si="166"/>
        <v>45.882352940998878</v>
      </c>
      <c r="Q193" s="191">
        <f t="shared" si="167"/>
        <v>44.024539877552151</v>
      </c>
      <c r="R193" s="192" t="s">
        <v>71</v>
      </c>
      <c r="S193" s="193">
        <v>129</v>
      </c>
      <c r="T193" s="194">
        <v>1</v>
      </c>
      <c r="U193" s="195">
        <v>168</v>
      </c>
      <c r="V193" s="196">
        <v>14</v>
      </c>
      <c r="W193" s="219">
        <v>0</v>
      </c>
      <c r="X193" s="220">
        <v>2</v>
      </c>
      <c r="Y193" s="199">
        <f t="shared" si="168"/>
        <v>314</v>
      </c>
      <c r="Z193" s="200">
        <f t="shared" si="169"/>
        <v>498</v>
      </c>
      <c r="AA193" s="193">
        <v>64</v>
      </c>
      <c r="AB193" s="194">
        <v>44</v>
      </c>
      <c r="AC193" s="195">
        <v>135</v>
      </c>
      <c r="AD193" s="201">
        <v>36</v>
      </c>
      <c r="AE193" s="221">
        <v>0</v>
      </c>
      <c r="AF193" s="220">
        <v>5</v>
      </c>
      <c r="AG193" s="199">
        <f t="shared" si="170"/>
        <v>284</v>
      </c>
      <c r="AH193" s="200">
        <f t="shared" si="171"/>
        <v>460</v>
      </c>
      <c r="AI193" s="203">
        <f t="shared" si="145"/>
        <v>598</v>
      </c>
      <c r="AJ193" s="204">
        <f t="shared" si="145"/>
        <v>958</v>
      </c>
      <c r="AK193" s="193">
        <v>0</v>
      </c>
      <c r="AL193" s="194">
        <v>0</v>
      </c>
      <c r="AM193" s="195">
        <v>0</v>
      </c>
      <c r="AN193" s="196">
        <v>0</v>
      </c>
      <c r="AO193" s="219">
        <v>0</v>
      </c>
      <c r="AP193" s="220">
        <v>0</v>
      </c>
      <c r="AQ193" s="205">
        <f t="shared" si="172"/>
        <v>0</v>
      </c>
      <c r="AR193" s="206">
        <f t="shared" si="173"/>
        <v>0</v>
      </c>
      <c r="AS193" s="193">
        <v>0</v>
      </c>
      <c r="AT193" s="194">
        <v>0</v>
      </c>
      <c r="AU193" s="195">
        <v>0</v>
      </c>
      <c r="AV193" s="196">
        <v>0</v>
      </c>
      <c r="AW193" s="219">
        <v>0</v>
      </c>
      <c r="AX193" s="220">
        <v>0</v>
      </c>
      <c r="AY193" s="205">
        <f t="shared" si="174"/>
        <v>0</v>
      </c>
      <c r="AZ193" s="206">
        <f t="shared" si="175"/>
        <v>0</v>
      </c>
      <c r="BA193" s="207">
        <f t="shared" si="146"/>
        <v>0</v>
      </c>
      <c r="BB193" s="204">
        <f t="shared" si="146"/>
        <v>0</v>
      </c>
      <c r="BC193" s="208">
        <f t="shared" si="147"/>
        <v>314</v>
      </c>
      <c r="BD193" s="209">
        <f t="shared" si="147"/>
        <v>498</v>
      </c>
      <c r="BE193" s="210">
        <f t="shared" si="148"/>
        <v>284</v>
      </c>
      <c r="BF193" s="211">
        <f t="shared" si="148"/>
        <v>460</v>
      </c>
      <c r="BG193" s="212">
        <f t="shared" si="149"/>
        <v>598</v>
      </c>
      <c r="BH193" s="213">
        <f t="shared" si="149"/>
        <v>958</v>
      </c>
    </row>
    <row r="194" spans="1:60" ht="21" x14ac:dyDescent="0.3">
      <c r="A194" s="214" t="s">
        <v>782</v>
      </c>
      <c r="B194" s="306">
        <v>4</v>
      </c>
      <c r="C194" s="180">
        <v>6</v>
      </c>
      <c r="D194" s="215" t="s">
        <v>58</v>
      </c>
      <c r="E194" s="182" t="s">
        <v>805</v>
      </c>
      <c r="F194" s="183" t="s">
        <v>734</v>
      </c>
      <c r="G194" s="216" t="s">
        <v>806</v>
      </c>
      <c r="H194" s="217" t="s">
        <v>807</v>
      </c>
      <c r="I194" s="217" t="s">
        <v>808</v>
      </c>
      <c r="J194" s="218">
        <v>45845.916666666664</v>
      </c>
      <c r="K194" s="223">
        <f t="shared" si="162"/>
        <v>0.95208333332993789</v>
      </c>
      <c r="L194" s="222">
        <v>0</v>
      </c>
      <c r="M194" s="189">
        <f t="shared" si="163"/>
        <v>0.95208333332993789</v>
      </c>
      <c r="N194" s="189">
        <f t="shared" si="164"/>
        <v>0.97916666666424135</v>
      </c>
      <c r="O194" s="190">
        <f t="shared" si="165"/>
        <v>27.439824945393266</v>
      </c>
      <c r="P194" s="190">
        <f t="shared" si="166"/>
        <v>27.439824945393266</v>
      </c>
      <c r="Q194" s="191">
        <f t="shared" si="167"/>
        <v>26.680851063895872</v>
      </c>
      <c r="R194" s="192" t="s">
        <v>57</v>
      </c>
      <c r="S194" s="193">
        <v>140</v>
      </c>
      <c r="T194" s="194">
        <v>10</v>
      </c>
      <c r="U194" s="195">
        <v>86</v>
      </c>
      <c r="V194" s="196">
        <v>216</v>
      </c>
      <c r="W194" s="219">
        <v>0</v>
      </c>
      <c r="X194" s="220">
        <v>1</v>
      </c>
      <c r="Y194" s="199">
        <f t="shared" si="168"/>
        <v>453</v>
      </c>
      <c r="Z194" s="200">
        <f t="shared" si="169"/>
        <v>756</v>
      </c>
      <c r="AA194" s="193">
        <v>55</v>
      </c>
      <c r="AB194" s="194">
        <v>0</v>
      </c>
      <c r="AC194" s="195">
        <v>84</v>
      </c>
      <c r="AD194" s="201">
        <v>20</v>
      </c>
      <c r="AE194" s="221">
        <v>0</v>
      </c>
      <c r="AF194" s="220">
        <v>1</v>
      </c>
      <c r="AG194" s="199">
        <f t="shared" si="170"/>
        <v>160</v>
      </c>
      <c r="AH194" s="200">
        <f t="shared" si="171"/>
        <v>265</v>
      </c>
      <c r="AI194" s="203">
        <f t="shared" ref="AI194:AJ221" si="176">Y194+AG194</f>
        <v>613</v>
      </c>
      <c r="AJ194" s="204">
        <f t="shared" si="176"/>
        <v>1021</v>
      </c>
      <c r="AK194" s="193">
        <v>3</v>
      </c>
      <c r="AL194" s="194">
        <v>0</v>
      </c>
      <c r="AM194" s="195">
        <v>4</v>
      </c>
      <c r="AN194" s="196">
        <v>0</v>
      </c>
      <c r="AO194" s="219">
        <v>0</v>
      </c>
      <c r="AP194" s="220">
        <v>0</v>
      </c>
      <c r="AQ194" s="205">
        <f t="shared" si="172"/>
        <v>7</v>
      </c>
      <c r="AR194" s="206">
        <f t="shared" si="173"/>
        <v>11</v>
      </c>
      <c r="AS194" s="193">
        <v>3</v>
      </c>
      <c r="AT194" s="194">
        <v>0</v>
      </c>
      <c r="AU194" s="195">
        <v>4</v>
      </c>
      <c r="AV194" s="196">
        <v>0</v>
      </c>
      <c r="AW194" s="219">
        <v>0</v>
      </c>
      <c r="AX194" s="220">
        <v>0</v>
      </c>
      <c r="AY194" s="205">
        <f t="shared" si="174"/>
        <v>7</v>
      </c>
      <c r="AZ194" s="206">
        <f t="shared" si="175"/>
        <v>11</v>
      </c>
      <c r="BA194" s="207">
        <f t="shared" ref="BA194:BB221" si="177">AQ194+AY194</f>
        <v>14</v>
      </c>
      <c r="BB194" s="204">
        <f t="shared" si="177"/>
        <v>22</v>
      </c>
      <c r="BC194" s="208">
        <f t="shared" ref="BC194:BD221" si="178">Y194+AQ194</f>
        <v>460</v>
      </c>
      <c r="BD194" s="209">
        <f t="shared" si="178"/>
        <v>767</v>
      </c>
      <c r="BE194" s="210">
        <f t="shared" ref="BE194:BF221" si="179">AG194+AY194</f>
        <v>167</v>
      </c>
      <c r="BF194" s="211">
        <f t="shared" si="179"/>
        <v>276</v>
      </c>
      <c r="BG194" s="212">
        <f t="shared" ref="BG194:BH221" si="180">BC194+BE194</f>
        <v>627</v>
      </c>
      <c r="BH194" s="213">
        <f t="shared" si="180"/>
        <v>1043</v>
      </c>
    </row>
    <row r="195" spans="1:60" ht="21" x14ac:dyDescent="0.3">
      <c r="A195" s="214" t="s">
        <v>782</v>
      </c>
      <c r="B195" s="306">
        <v>1</v>
      </c>
      <c r="C195" s="180">
        <v>7</v>
      </c>
      <c r="D195" s="215" t="s">
        <v>43</v>
      </c>
      <c r="E195" s="182" t="s">
        <v>809</v>
      </c>
      <c r="F195" s="183" t="s">
        <v>810</v>
      </c>
      <c r="G195" s="216" t="s">
        <v>811</v>
      </c>
      <c r="H195" s="217" t="s">
        <v>812</v>
      </c>
      <c r="I195" s="217" t="s">
        <v>813</v>
      </c>
      <c r="J195" s="218">
        <v>45847.229166666664</v>
      </c>
      <c r="K195" s="223">
        <f t="shared" si="162"/>
        <v>61.182638888887595</v>
      </c>
      <c r="L195" s="222">
        <v>0.65277777778101154</v>
      </c>
      <c r="M195" s="189">
        <f t="shared" si="163"/>
        <v>60.529861111106584</v>
      </c>
      <c r="N195" s="189">
        <f t="shared" si="164"/>
        <v>1.2708333333284827</v>
      </c>
      <c r="O195" s="190">
        <f t="shared" si="165"/>
        <v>0.44606082856261153</v>
      </c>
      <c r="P195" s="190">
        <f t="shared" si="166"/>
        <v>0.44130165828633333</v>
      </c>
      <c r="Q195" s="191">
        <f t="shared" si="167"/>
        <v>21.245901639425355</v>
      </c>
      <c r="R195" s="192" t="s">
        <v>50</v>
      </c>
      <c r="S195" s="193">
        <v>106</v>
      </c>
      <c r="T195" s="194">
        <v>0</v>
      </c>
      <c r="U195" s="195">
        <v>145</v>
      </c>
      <c r="V195" s="196">
        <v>30</v>
      </c>
      <c r="W195" s="219">
        <v>0</v>
      </c>
      <c r="X195" s="220">
        <v>0</v>
      </c>
      <c r="Y195" s="199">
        <f t="shared" si="168"/>
        <v>281</v>
      </c>
      <c r="Z195" s="200">
        <f t="shared" si="169"/>
        <v>456</v>
      </c>
      <c r="AA195" s="193">
        <v>117</v>
      </c>
      <c r="AB195" s="194">
        <v>93</v>
      </c>
      <c r="AC195" s="195">
        <v>116</v>
      </c>
      <c r="AD195" s="201">
        <v>41</v>
      </c>
      <c r="AE195" s="221">
        <v>0</v>
      </c>
      <c r="AF195" s="220">
        <v>0</v>
      </c>
      <c r="AG195" s="199">
        <f t="shared" si="170"/>
        <v>367</v>
      </c>
      <c r="AH195" s="200">
        <f t="shared" si="171"/>
        <v>524</v>
      </c>
      <c r="AI195" s="203">
        <f t="shared" si="176"/>
        <v>648</v>
      </c>
      <c r="AJ195" s="204">
        <f t="shared" si="176"/>
        <v>980</v>
      </c>
      <c r="AK195" s="193">
        <v>0</v>
      </c>
      <c r="AL195" s="194">
        <v>0</v>
      </c>
      <c r="AM195" s="195">
        <v>0</v>
      </c>
      <c r="AN195" s="196">
        <v>0</v>
      </c>
      <c r="AO195" s="219">
        <v>0</v>
      </c>
      <c r="AP195" s="220">
        <v>0</v>
      </c>
      <c r="AQ195" s="205">
        <f t="shared" si="172"/>
        <v>0</v>
      </c>
      <c r="AR195" s="206">
        <f t="shared" si="173"/>
        <v>0</v>
      </c>
      <c r="AS195" s="193">
        <v>0</v>
      </c>
      <c r="AT195" s="194">
        <v>0</v>
      </c>
      <c r="AU195" s="195">
        <v>0</v>
      </c>
      <c r="AV195" s="196">
        <v>0</v>
      </c>
      <c r="AW195" s="219">
        <v>0</v>
      </c>
      <c r="AX195" s="220">
        <v>0</v>
      </c>
      <c r="AY195" s="205">
        <f t="shared" si="174"/>
        <v>0</v>
      </c>
      <c r="AZ195" s="206">
        <f t="shared" si="175"/>
        <v>0</v>
      </c>
      <c r="BA195" s="207">
        <f t="shared" si="177"/>
        <v>0</v>
      </c>
      <c r="BB195" s="204">
        <f t="shared" si="177"/>
        <v>0</v>
      </c>
      <c r="BC195" s="208">
        <f t="shared" si="178"/>
        <v>281</v>
      </c>
      <c r="BD195" s="209">
        <f t="shared" si="178"/>
        <v>456</v>
      </c>
      <c r="BE195" s="210">
        <f t="shared" si="179"/>
        <v>367</v>
      </c>
      <c r="BF195" s="211">
        <f t="shared" si="179"/>
        <v>524</v>
      </c>
      <c r="BG195" s="212">
        <f t="shared" si="180"/>
        <v>648</v>
      </c>
      <c r="BH195" s="213">
        <f t="shared" si="180"/>
        <v>980</v>
      </c>
    </row>
    <row r="196" spans="1:60" ht="21" x14ac:dyDescent="0.3">
      <c r="A196" s="214" t="s">
        <v>782</v>
      </c>
      <c r="B196" s="306">
        <v>5</v>
      </c>
      <c r="C196" s="180">
        <v>8</v>
      </c>
      <c r="D196" s="215" t="s">
        <v>72</v>
      </c>
      <c r="E196" s="182" t="s">
        <v>814</v>
      </c>
      <c r="F196" s="183" t="s">
        <v>645</v>
      </c>
      <c r="G196" s="216" t="s">
        <v>815</v>
      </c>
      <c r="H196" s="217" t="s">
        <v>816</v>
      </c>
      <c r="I196" s="217" t="s">
        <v>817</v>
      </c>
      <c r="J196" s="218">
        <v>45848.666666666664</v>
      </c>
      <c r="K196" s="223">
        <f t="shared" si="162"/>
        <v>0.46458333333430346</v>
      </c>
      <c r="L196" s="222">
        <v>0.14583333333575865</v>
      </c>
      <c r="M196" s="189">
        <f t="shared" si="163"/>
        <v>0.31874999999854481</v>
      </c>
      <c r="N196" s="189">
        <f t="shared" si="164"/>
        <v>0.63888888888322981</v>
      </c>
      <c r="O196" s="190">
        <f t="shared" si="165"/>
        <v>30.065359477261438</v>
      </c>
      <c r="P196" s="190">
        <f t="shared" si="166"/>
        <v>20.627802690539884</v>
      </c>
      <c r="Q196" s="191">
        <f t="shared" si="167"/>
        <v>15.000000000132864</v>
      </c>
      <c r="R196" s="192" t="s">
        <v>57</v>
      </c>
      <c r="S196" s="193">
        <v>69</v>
      </c>
      <c r="T196" s="194">
        <v>0</v>
      </c>
      <c r="U196" s="195">
        <v>27</v>
      </c>
      <c r="V196" s="196">
        <v>0</v>
      </c>
      <c r="W196" s="219">
        <v>0</v>
      </c>
      <c r="X196" s="220">
        <v>0</v>
      </c>
      <c r="Y196" s="199">
        <f t="shared" si="168"/>
        <v>96</v>
      </c>
      <c r="Z196" s="200">
        <f t="shared" si="169"/>
        <v>123</v>
      </c>
      <c r="AA196" s="193">
        <v>58</v>
      </c>
      <c r="AB196" s="194">
        <v>0</v>
      </c>
      <c r="AC196" s="195">
        <v>68</v>
      </c>
      <c r="AD196" s="201">
        <v>0</v>
      </c>
      <c r="AE196" s="221">
        <v>0</v>
      </c>
      <c r="AF196" s="220">
        <v>0</v>
      </c>
      <c r="AG196" s="199">
        <f t="shared" si="170"/>
        <v>126</v>
      </c>
      <c r="AH196" s="200">
        <f t="shared" si="171"/>
        <v>194</v>
      </c>
      <c r="AI196" s="203">
        <f t="shared" si="176"/>
        <v>222</v>
      </c>
      <c r="AJ196" s="204">
        <f t="shared" si="176"/>
        <v>317</v>
      </c>
      <c r="AK196" s="193">
        <v>0</v>
      </c>
      <c r="AL196" s="194">
        <v>0</v>
      </c>
      <c r="AM196" s="195">
        <v>0</v>
      </c>
      <c r="AN196" s="196">
        <v>4</v>
      </c>
      <c r="AO196" s="219">
        <v>0</v>
      </c>
      <c r="AP196" s="220">
        <v>0</v>
      </c>
      <c r="AQ196" s="205">
        <f t="shared" si="172"/>
        <v>4</v>
      </c>
      <c r="AR196" s="206">
        <f t="shared" si="173"/>
        <v>8</v>
      </c>
      <c r="AS196" s="193">
        <v>0</v>
      </c>
      <c r="AT196" s="194">
        <v>0</v>
      </c>
      <c r="AU196" s="195">
        <v>0</v>
      </c>
      <c r="AV196" s="196">
        <v>4</v>
      </c>
      <c r="AW196" s="219">
        <v>0</v>
      </c>
      <c r="AX196" s="220">
        <v>0</v>
      </c>
      <c r="AY196" s="205">
        <f t="shared" si="174"/>
        <v>4</v>
      </c>
      <c r="AZ196" s="206">
        <f t="shared" si="175"/>
        <v>8</v>
      </c>
      <c r="BA196" s="207">
        <f t="shared" si="177"/>
        <v>8</v>
      </c>
      <c r="BB196" s="204">
        <f t="shared" si="177"/>
        <v>16</v>
      </c>
      <c r="BC196" s="208">
        <f t="shared" si="178"/>
        <v>100</v>
      </c>
      <c r="BD196" s="209">
        <f t="shared" si="178"/>
        <v>131</v>
      </c>
      <c r="BE196" s="210">
        <f t="shared" si="179"/>
        <v>130</v>
      </c>
      <c r="BF196" s="211">
        <f t="shared" si="179"/>
        <v>202</v>
      </c>
      <c r="BG196" s="212">
        <f t="shared" si="180"/>
        <v>230</v>
      </c>
      <c r="BH196" s="213">
        <f t="shared" si="180"/>
        <v>333</v>
      </c>
    </row>
    <row r="197" spans="1:60" ht="21" x14ac:dyDescent="0.3">
      <c r="A197" s="214" t="s">
        <v>782</v>
      </c>
      <c r="B197" s="306">
        <v>3</v>
      </c>
      <c r="C197" s="180">
        <v>9</v>
      </c>
      <c r="D197" s="215" t="s">
        <v>65</v>
      </c>
      <c r="E197" s="182" t="s">
        <v>818</v>
      </c>
      <c r="F197" s="183" t="s">
        <v>819</v>
      </c>
      <c r="G197" s="216" t="s">
        <v>820</v>
      </c>
      <c r="H197" s="217" t="s">
        <v>821</v>
      </c>
      <c r="I197" s="217" t="s">
        <v>822</v>
      </c>
      <c r="J197" s="218">
        <v>45848.979166666664</v>
      </c>
      <c r="K197" s="223">
        <f t="shared" si="162"/>
        <v>0.523611111115315</v>
      </c>
      <c r="L197" s="222">
        <v>3.8194444437976927E-2</v>
      </c>
      <c r="M197" s="189">
        <f t="shared" si="163"/>
        <v>0.48541666667733807</v>
      </c>
      <c r="N197" s="189">
        <f t="shared" si="164"/>
        <v>0.53472222221898846</v>
      </c>
      <c r="O197" s="190">
        <f t="shared" si="165"/>
        <v>48.326180256448332</v>
      </c>
      <c r="P197" s="190">
        <f t="shared" si="166"/>
        <v>44.801061007597866</v>
      </c>
      <c r="Q197" s="191">
        <f t="shared" si="167"/>
        <v>43.870129870395175</v>
      </c>
      <c r="R197" s="192" t="s">
        <v>71</v>
      </c>
      <c r="S197" s="193">
        <v>117</v>
      </c>
      <c r="T197" s="194">
        <v>0</v>
      </c>
      <c r="U197" s="195">
        <v>153</v>
      </c>
      <c r="V197" s="196">
        <v>17</v>
      </c>
      <c r="W197" s="219">
        <v>0</v>
      </c>
      <c r="X197" s="220">
        <v>2</v>
      </c>
      <c r="Y197" s="199">
        <f t="shared" si="168"/>
        <v>289</v>
      </c>
      <c r="Z197" s="200">
        <f t="shared" si="169"/>
        <v>461</v>
      </c>
      <c r="AA197" s="193">
        <v>70</v>
      </c>
      <c r="AB197" s="194">
        <v>54</v>
      </c>
      <c r="AC197" s="195">
        <v>146</v>
      </c>
      <c r="AD197" s="201">
        <v>2</v>
      </c>
      <c r="AE197" s="221">
        <v>0</v>
      </c>
      <c r="AF197" s="220">
        <v>2</v>
      </c>
      <c r="AG197" s="199">
        <f t="shared" si="170"/>
        <v>274</v>
      </c>
      <c r="AH197" s="200">
        <f t="shared" si="171"/>
        <v>424</v>
      </c>
      <c r="AI197" s="203">
        <f t="shared" si="176"/>
        <v>563</v>
      </c>
      <c r="AJ197" s="204">
        <f t="shared" si="176"/>
        <v>885</v>
      </c>
      <c r="AK197" s="193">
        <v>0</v>
      </c>
      <c r="AL197" s="194">
        <v>0</v>
      </c>
      <c r="AM197" s="195">
        <v>0</v>
      </c>
      <c r="AN197" s="196">
        <v>0</v>
      </c>
      <c r="AO197" s="219">
        <v>0</v>
      </c>
      <c r="AP197" s="220">
        <v>0</v>
      </c>
      <c r="AQ197" s="205">
        <f t="shared" si="172"/>
        <v>0</v>
      </c>
      <c r="AR197" s="206">
        <f t="shared" si="173"/>
        <v>0</v>
      </c>
      <c r="AS197" s="193">
        <v>0</v>
      </c>
      <c r="AT197" s="194">
        <v>0</v>
      </c>
      <c r="AU197" s="195">
        <v>0</v>
      </c>
      <c r="AV197" s="196">
        <v>0</v>
      </c>
      <c r="AW197" s="219">
        <v>0</v>
      </c>
      <c r="AX197" s="220">
        <v>0</v>
      </c>
      <c r="AY197" s="205">
        <f t="shared" si="174"/>
        <v>0</v>
      </c>
      <c r="AZ197" s="206">
        <f t="shared" si="175"/>
        <v>0</v>
      </c>
      <c r="BA197" s="207">
        <f t="shared" si="177"/>
        <v>0</v>
      </c>
      <c r="BB197" s="204">
        <f t="shared" si="177"/>
        <v>0</v>
      </c>
      <c r="BC197" s="208">
        <f t="shared" si="178"/>
        <v>289</v>
      </c>
      <c r="BD197" s="209">
        <f t="shared" si="178"/>
        <v>461</v>
      </c>
      <c r="BE197" s="210">
        <f t="shared" si="179"/>
        <v>274</v>
      </c>
      <c r="BF197" s="211">
        <f t="shared" si="179"/>
        <v>424</v>
      </c>
      <c r="BG197" s="212">
        <f t="shared" si="180"/>
        <v>563</v>
      </c>
      <c r="BH197" s="213">
        <f t="shared" si="180"/>
        <v>885</v>
      </c>
    </row>
    <row r="198" spans="1:60" ht="21" x14ac:dyDescent="0.3">
      <c r="A198" s="214" t="s">
        <v>782</v>
      </c>
      <c r="B198" s="306">
        <v>6</v>
      </c>
      <c r="C198" s="180">
        <v>10</v>
      </c>
      <c r="D198" s="215" t="s">
        <v>51</v>
      </c>
      <c r="E198" s="182" t="s">
        <v>823</v>
      </c>
      <c r="F198" s="183" t="s">
        <v>793</v>
      </c>
      <c r="G198" s="216" t="s">
        <v>824</v>
      </c>
      <c r="H198" s="217" t="s">
        <v>825</v>
      </c>
      <c r="I198" s="217" t="s">
        <v>826</v>
      </c>
      <c r="J198" s="218">
        <v>45849.666666666664</v>
      </c>
      <c r="K198" s="223">
        <f t="shared" si="162"/>
        <v>0.57361111111094942</v>
      </c>
      <c r="L198" s="222">
        <v>2.0833333328482695E-2</v>
      </c>
      <c r="M198" s="189">
        <f t="shared" si="163"/>
        <v>0.55277777778246673</v>
      </c>
      <c r="N198" s="189">
        <f t="shared" si="164"/>
        <v>0.61458333332848269</v>
      </c>
      <c r="O198" s="190">
        <f t="shared" si="165"/>
        <v>44.999999999618289</v>
      </c>
      <c r="P198" s="190">
        <f t="shared" si="166"/>
        <v>43.365617433426273</v>
      </c>
      <c r="Q198" s="191">
        <f t="shared" si="167"/>
        <v>40.474576271505889</v>
      </c>
      <c r="R198" s="192" t="s">
        <v>57</v>
      </c>
      <c r="S198" s="193">
        <v>176</v>
      </c>
      <c r="T198" s="194">
        <v>0</v>
      </c>
      <c r="U198" s="195">
        <v>110</v>
      </c>
      <c r="V198" s="196">
        <v>15</v>
      </c>
      <c r="W198" s="219">
        <v>0</v>
      </c>
      <c r="X198" s="220">
        <v>1</v>
      </c>
      <c r="Y198" s="199">
        <f t="shared" si="168"/>
        <v>302</v>
      </c>
      <c r="Z198" s="200">
        <f t="shared" si="169"/>
        <v>428</v>
      </c>
      <c r="AA198" s="193">
        <v>105</v>
      </c>
      <c r="AB198" s="194">
        <v>42</v>
      </c>
      <c r="AC198" s="195">
        <v>108</v>
      </c>
      <c r="AD198" s="201">
        <v>0</v>
      </c>
      <c r="AE198" s="221">
        <v>0</v>
      </c>
      <c r="AF198" s="220">
        <v>40</v>
      </c>
      <c r="AG198" s="199">
        <f t="shared" si="170"/>
        <v>295</v>
      </c>
      <c r="AH198" s="200">
        <f t="shared" si="171"/>
        <v>443</v>
      </c>
      <c r="AI198" s="203">
        <f t="shared" si="176"/>
        <v>597</v>
      </c>
      <c r="AJ198" s="204">
        <f t="shared" si="176"/>
        <v>871</v>
      </c>
      <c r="AK198" s="193">
        <v>0</v>
      </c>
      <c r="AL198" s="194">
        <v>0</v>
      </c>
      <c r="AM198" s="195">
        <v>0</v>
      </c>
      <c r="AN198" s="196">
        <v>0</v>
      </c>
      <c r="AO198" s="219">
        <v>0</v>
      </c>
      <c r="AP198" s="220">
        <v>0</v>
      </c>
      <c r="AQ198" s="205">
        <f t="shared" si="172"/>
        <v>0</v>
      </c>
      <c r="AR198" s="206">
        <f t="shared" si="173"/>
        <v>0</v>
      </c>
      <c r="AS198" s="193">
        <v>0</v>
      </c>
      <c r="AT198" s="194">
        <v>0</v>
      </c>
      <c r="AU198" s="195">
        <v>0</v>
      </c>
      <c r="AV198" s="196">
        <v>0</v>
      </c>
      <c r="AW198" s="219">
        <v>0</v>
      </c>
      <c r="AX198" s="220">
        <v>0</v>
      </c>
      <c r="AY198" s="205">
        <f t="shared" si="174"/>
        <v>0</v>
      </c>
      <c r="AZ198" s="206">
        <f t="shared" si="175"/>
        <v>0</v>
      </c>
      <c r="BA198" s="207">
        <f t="shared" si="177"/>
        <v>0</v>
      </c>
      <c r="BB198" s="204">
        <f t="shared" si="177"/>
        <v>0</v>
      </c>
      <c r="BC198" s="208">
        <f t="shared" si="178"/>
        <v>302</v>
      </c>
      <c r="BD198" s="209">
        <f t="shared" si="178"/>
        <v>428</v>
      </c>
      <c r="BE198" s="210">
        <f t="shared" si="179"/>
        <v>295</v>
      </c>
      <c r="BF198" s="211">
        <f t="shared" si="179"/>
        <v>443</v>
      </c>
      <c r="BG198" s="212">
        <f t="shared" si="180"/>
        <v>597</v>
      </c>
      <c r="BH198" s="213">
        <f t="shared" si="180"/>
        <v>871</v>
      </c>
    </row>
    <row r="199" spans="1:60" ht="21" x14ac:dyDescent="0.3">
      <c r="A199" s="214" t="s">
        <v>782</v>
      </c>
      <c r="B199" s="306">
        <v>4</v>
      </c>
      <c r="C199" s="180">
        <v>11</v>
      </c>
      <c r="D199" s="215" t="s">
        <v>79</v>
      </c>
      <c r="E199" s="182" t="s">
        <v>827</v>
      </c>
      <c r="F199" s="183" t="s">
        <v>819</v>
      </c>
      <c r="G199" s="216" t="s">
        <v>828</v>
      </c>
      <c r="H199" s="217" t="s">
        <v>829</v>
      </c>
      <c r="I199" s="217" t="s">
        <v>830</v>
      </c>
      <c r="J199" s="218">
        <v>45853.166666666664</v>
      </c>
      <c r="K199" s="223">
        <f t="shared" si="162"/>
        <v>0.41388888889196096</v>
      </c>
      <c r="L199" s="222">
        <v>0</v>
      </c>
      <c r="M199" s="189">
        <f t="shared" si="163"/>
        <v>0.41388888889196096</v>
      </c>
      <c r="N199" s="189">
        <f t="shared" si="164"/>
        <v>0.44444444444525288</v>
      </c>
      <c r="O199" s="190">
        <f t="shared" si="165"/>
        <v>61.006711408943154</v>
      </c>
      <c r="P199" s="190">
        <f t="shared" si="166"/>
        <v>61.006711408943154</v>
      </c>
      <c r="Q199" s="191">
        <f t="shared" si="167"/>
        <v>56.812499999896659</v>
      </c>
      <c r="R199" s="192" t="s">
        <v>71</v>
      </c>
      <c r="S199" s="193">
        <v>130</v>
      </c>
      <c r="T199" s="194">
        <v>2</v>
      </c>
      <c r="U199" s="195">
        <v>157</v>
      </c>
      <c r="V199" s="196">
        <v>25</v>
      </c>
      <c r="W199" s="219">
        <v>0</v>
      </c>
      <c r="X199" s="220">
        <v>3</v>
      </c>
      <c r="Y199" s="199">
        <f t="shared" si="168"/>
        <v>317</v>
      </c>
      <c r="Z199" s="200">
        <f t="shared" si="169"/>
        <v>502</v>
      </c>
      <c r="AA199" s="193">
        <v>84</v>
      </c>
      <c r="AB199" s="194">
        <v>42</v>
      </c>
      <c r="AC199" s="195">
        <v>133</v>
      </c>
      <c r="AD199" s="201">
        <v>25</v>
      </c>
      <c r="AE199" s="221">
        <v>0</v>
      </c>
      <c r="AF199" s="220">
        <v>5</v>
      </c>
      <c r="AG199" s="199">
        <f t="shared" si="170"/>
        <v>289</v>
      </c>
      <c r="AH199" s="200">
        <f t="shared" si="171"/>
        <v>452</v>
      </c>
      <c r="AI199" s="203">
        <f t="shared" si="176"/>
        <v>606</v>
      </c>
      <c r="AJ199" s="204">
        <f t="shared" si="176"/>
        <v>954</v>
      </c>
      <c r="AK199" s="193">
        <v>0</v>
      </c>
      <c r="AL199" s="194">
        <v>0</v>
      </c>
      <c r="AM199" s="195">
        <v>0</v>
      </c>
      <c r="AN199" s="196">
        <v>0</v>
      </c>
      <c r="AO199" s="219">
        <v>0</v>
      </c>
      <c r="AP199" s="220">
        <v>0</v>
      </c>
      <c r="AQ199" s="205">
        <f t="shared" si="172"/>
        <v>0</v>
      </c>
      <c r="AR199" s="206">
        <f t="shared" si="173"/>
        <v>0</v>
      </c>
      <c r="AS199" s="193">
        <v>0</v>
      </c>
      <c r="AT199" s="194">
        <v>0</v>
      </c>
      <c r="AU199" s="195">
        <v>0</v>
      </c>
      <c r="AV199" s="196">
        <v>0</v>
      </c>
      <c r="AW199" s="219">
        <v>0</v>
      </c>
      <c r="AX199" s="220">
        <v>0</v>
      </c>
      <c r="AY199" s="205">
        <f t="shared" si="174"/>
        <v>0</v>
      </c>
      <c r="AZ199" s="206">
        <f t="shared" si="175"/>
        <v>0</v>
      </c>
      <c r="BA199" s="207">
        <f t="shared" si="177"/>
        <v>0</v>
      </c>
      <c r="BB199" s="204">
        <f t="shared" si="177"/>
        <v>0</v>
      </c>
      <c r="BC199" s="208">
        <f t="shared" si="178"/>
        <v>317</v>
      </c>
      <c r="BD199" s="209">
        <f t="shared" si="178"/>
        <v>502</v>
      </c>
      <c r="BE199" s="210">
        <f t="shared" si="179"/>
        <v>289</v>
      </c>
      <c r="BF199" s="211">
        <f t="shared" si="179"/>
        <v>452</v>
      </c>
      <c r="BG199" s="212">
        <f t="shared" si="180"/>
        <v>606</v>
      </c>
      <c r="BH199" s="213">
        <f t="shared" si="180"/>
        <v>954</v>
      </c>
    </row>
    <row r="200" spans="1:60" ht="21" x14ac:dyDescent="0.3">
      <c r="A200" s="214" t="s">
        <v>782</v>
      </c>
      <c r="B200" s="306">
        <v>7</v>
      </c>
      <c r="C200" s="180">
        <v>12</v>
      </c>
      <c r="D200" s="215" t="s">
        <v>231</v>
      </c>
      <c r="E200" s="182" t="s">
        <v>831</v>
      </c>
      <c r="F200" s="183" t="s">
        <v>704</v>
      </c>
      <c r="G200" s="216" t="s">
        <v>832</v>
      </c>
      <c r="H200" s="217" t="s">
        <v>833</v>
      </c>
      <c r="I200" s="217" t="s">
        <v>834</v>
      </c>
      <c r="J200" s="218">
        <v>45853.458333333336</v>
      </c>
      <c r="K200" s="223">
        <f t="shared" si="162"/>
        <v>0.625</v>
      </c>
      <c r="L200" s="222">
        <v>3.125E-2</v>
      </c>
      <c r="M200" s="189">
        <f t="shared" si="163"/>
        <v>0.59375</v>
      </c>
      <c r="N200" s="189">
        <f t="shared" si="164"/>
        <v>0.64583333333575865</v>
      </c>
      <c r="O200" s="190">
        <f t="shared" si="165"/>
        <v>42.456140350877192</v>
      </c>
      <c r="P200" s="190">
        <f t="shared" si="166"/>
        <v>40.333333333333336</v>
      </c>
      <c r="Q200" s="191">
        <f t="shared" si="167"/>
        <v>39.03225806436955</v>
      </c>
      <c r="R200" s="192" t="s">
        <v>57</v>
      </c>
      <c r="S200" s="193">
        <v>156</v>
      </c>
      <c r="T200" s="194">
        <v>0</v>
      </c>
      <c r="U200" s="195">
        <v>128</v>
      </c>
      <c r="V200" s="196">
        <v>26</v>
      </c>
      <c r="W200" s="219">
        <v>0</v>
      </c>
      <c r="X200" s="220">
        <v>0</v>
      </c>
      <c r="Y200" s="199">
        <f t="shared" si="168"/>
        <v>310</v>
      </c>
      <c r="Z200" s="200">
        <f t="shared" si="169"/>
        <v>464</v>
      </c>
      <c r="AA200" s="193">
        <v>105</v>
      </c>
      <c r="AB200" s="194">
        <v>32</v>
      </c>
      <c r="AC200" s="195">
        <v>141</v>
      </c>
      <c r="AD200" s="201">
        <v>0</v>
      </c>
      <c r="AE200" s="221">
        <v>0</v>
      </c>
      <c r="AF200" s="220">
        <v>17</v>
      </c>
      <c r="AG200" s="199">
        <f t="shared" si="170"/>
        <v>295</v>
      </c>
      <c r="AH200" s="200">
        <f t="shared" si="171"/>
        <v>453</v>
      </c>
      <c r="AI200" s="203">
        <f t="shared" si="176"/>
        <v>605</v>
      </c>
      <c r="AJ200" s="204">
        <f t="shared" si="176"/>
        <v>917</v>
      </c>
      <c r="AK200" s="193">
        <v>0</v>
      </c>
      <c r="AL200" s="194">
        <v>0</v>
      </c>
      <c r="AM200" s="195">
        <v>0</v>
      </c>
      <c r="AN200" s="196">
        <v>0</v>
      </c>
      <c r="AO200" s="219">
        <v>0</v>
      </c>
      <c r="AP200" s="220">
        <v>0</v>
      </c>
      <c r="AQ200" s="205">
        <f t="shared" si="172"/>
        <v>0</v>
      </c>
      <c r="AR200" s="206">
        <f t="shared" si="173"/>
        <v>0</v>
      </c>
      <c r="AS200" s="193">
        <v>0</v>
      </c>
      <c r="AT200" s="194">
        <v>0</v>
      </c>
      <c r="AU200" s="195">
        <v>0</v>
      </c>
      <c r="AV200" s="196">
        <v>0</v>
      </c>
      <c r="AW200" s="219">
        <v>0</v>
      </c>
      <c r="AX200" s="220">
        <v>0</v>
      </c>
      <c r="AY200" s="205">
        <f t="shared" si="174"/>
        <v>0</v>
      </c>
      <c r="AZ200" s="206">
        <f t="shared" si="175"/>
        <v>0</v>
      </c>
      <c r="BA200" s="207">
        <f t="shared" si="177"/>
        <v>0</v>
      </c>
      <c r="BB200" s="204">
        <f t="shared" si="177"/>
        <v>0</v>
      </c>
      <c r="BC200" s="208">
        <f t="shared" si="178"/>
        <v>310</v>
      </c>
      <c r="BD200" s="209">
        <f t="shared" si="178"/>
        <v>464</v>
      </c>
      <c r="BE200" s="210">
        <f t="shared" si="179"/>
        <v>295</v>
      </c>
      <c r="BF200" s="211">
        <f t="shared" si="179"/>
        <v>453</v>
      </c>
      <c r="BG200" s="212">
        <f t="shared" si="180"/>
        <v>605</v>
      </c>
      <c r="BH200" s="213">
        <f t="shared" si="180"/>
        <v>917</v>
      </c>
    </row>
    <row r="201" spans="1:60" ht="21" x14ac:dyDescent="0.3">
      <c r="A201" s="214" t="s">
        <v>782</v>
      </c>
      <c r="B201" s="306">
        <v>8</v>
      </c>
      <c r="C201" s="180">
        <v>13</v>
      </c>
      <c r="D201" s="215" t="s">
        <v>58</v>
      </c>
      <c r="E201" s="182" t="s">
        <v>835</v>
      </c>
      <c r="F201" s="183" t="s">
        <v>760</v>
      </c>
      <c r="G201" s="216" t="s">
        <v>836</v>
      </c>
      <c r="H201" s="217" t="s">
        <v>837</v>
      </c>
      <c r="I201" s="217" t="s">
        <v>838</v>
      </c>
      <c r="J201" s="218">
        <v>45855.4375</v>
      </c>
      <c r="K201" s="223">
        <f t="shared" si="162"/>
        <v>0.67430555555620231</v>
      </c>
      <c r="L201" s="222">
        <v>0.10416666666424135</v>
      </c>
      <c r="M201" s="189">
        <f t="shared" si="163"/>
        <v>0.57013888889196096</v>
      </c>
      <c r="N201" s="189">
        <f t="shared" si="164"/>
        <v>0.73958333333575865</v>
      </c>
      <c r="O201" s="190">
        <f t="shared" si="165"/>
        <v>46.991473812170675</v>
      </c>
      <c r="P201" s="190">
        <f t="shared" si="166"/>
        <v>39.732234809436662</v>
      </c>
      <c r="Q201" s="191">
        <f t="shared" si="167"/>
        <v>36.22535211255726</v>
      </c>
      <c r="R201" s="192" t="s">
        <v>57</v>
      </c>
      <c r="S201" s="193">
        <v>157</v>
      </c>
      <c r="T201" s="194">
        <v>146</v>
      </c>
      <c r="U201" s="195">
        <v>57</v>
      </c>
      <c r="V201" s="196">
        <v>100</v>
      </c>
      <c r="W201" s="219">
        <v>0</v>
      </c>
      <c r="X201" s="220">
        <v>2</v>
      </c>
      <c r="Y201" s="199">
        <f t="shared" si="168"/>
        <v>462</v>
      </c>
      <c r="Z201" s="200">
        <f t="shared" si="169"/>
        <v>621</v>
      </c>
      <c r="AA201" s="193">
        <v>74</v>
      </c>
      <c r="AB201" s="194">
        <v>8</v>
      </c>
      <c r="AC201" s="195">
        <v>84</v>
      </c>
      <c r="AD201" s="201">
        <v>0</v>
      </c>
      <c r="AE201" s="221">
        <v>0</v>
      </c>
      <c r="AF201" s="220">
        <v>15</v>
      </c>
      <c r="AG201" s="199">
        <f t="shared" si="170"/>
        <v>181</v>
      </c>
      <c r="AH201" s="200">
        <f t="shared" si="171"/>
        <v>280</v>
      </c>
      <c r="AI201" s="203">
        <f t="shared" si="176"/>
        <v>643</v>
      </c>
      <c r="AJ201" s="204">
        <f t="shared" si="176"/>
        <v>901</v>
      </c>
      <c r="AK201" s="193">
        <v>0</v>
      </c>
      <c r="AL201" s="194">
        <v>0</v>
      </c>
      <c r="AM201" s="195">
        <v>0</v>
      </c>
      <c r="AN201" s="196">
        <v>0</v>
      </c>
      <c r="AO201" s="219">
        <v>0</v>
      </c>
      <c r="AP201" s="220">
        <v>0</v>
      </c>
      <c r="AQ201" s="205">
        <f t="shared" si="172"/>
        <v>0</v>
      </c>
      <c r="AR201" s="206">
        <f t="shared" si="173"/>
        <v>0</v>
      </c>
      <c r="AS201" s="193">
        <v>0</v>
      </c>
      <c r="AT201" s="194">
        <v>0</v>
      </c>
      <c r="AU201" s="195">
        <v>0</v>
      </c>
      <c r="AV201" s="196">
        <v>0</v>
      </c>
      <c r="AW201" s="219">
        <v>0</v>
      </c>
      <c r="AX201" s="220">
        <v>0</v>
      </c>
      <c r="AY201" s="205">
        <f t="shared" si="174"/>
        <v>0</v>
      </c>
      <c r="AZ201" s="206">
        <f t="shared" si="175"/>
        <v>0</v>
      </c>
      <c r="BA201" s="207">
        <f t="shared" si="177"/>
        <v>0</v>
      </c>
      <c r="BB201" s="204">
        <f t="shared" si="177"/>
        <v>0</v>
      </c>
      <c r="BC201" s="208">
        <f t="shared" si="178"/>
        <v>462</v>
      </c>
      <c r="BD201" s="209">
        <f t="shared" si="178"/>
        <v>621</v>
      </c>
      <c r="BE201" s="210">
        <f t="shared" si="179"/>
        <v>181</v>
      </c>
      <c r="BF201" s="211">
        <f t="shared" si="179"/>
        <v>280</v>
      </c>
      <c r="BG201" s="212">
        <f t="shared" si="180"/>
        <v>643</v>
      </c>
      <c r="BH201" s="213">
        <f t="shared" si="180"/>
        <v>901</v>
      </c>
    </row>
    <row r="202" spans="1:60" ht="21" x14ac:dyDescent="0.3">
      <c r="A202" s="214" t="s">
        <v>782</v>
      </c>
      <c r="B202" s="306">
        <v>9</v>
      </c>
      <c r="C202" s="180">
        <v>14</v>
      </c>
      <c r="D202" s="215" t="s">
        <v>72</v>
      </c>
      <c r="E202" s="182" t="s">
        <v>839</v>
      </c>
      <c r="F202" s="183" t="s">
        <v>678</v>
      </c>
      <c r="G202" s="216" t="s">
        <v>840</v>
      </c>
      <c r="H202" s="217" t="s">
        <v>841</v>
      </c>
      <c r="I202" s="217" t="s">
        <v>842</v>
      </c>
      <c r="J202" s="218">
        <v>45855.708333333336</v>
      </c>
      <c r="K202" s="223">
        <f t="shared" si="162"/>
        <v>0.36250000000291038</v>
      </c>
      <c r="L202" s="222">
        <v>0</v>
      </c>
      <c r="M202" s="189">
        <f t="shared" si="163"/>
        <v>0.36250000000291038</v>
      </c>
      <c r="N202" s="189">
        <f t="shared" si="164"/>
        <v>0.42708333333575865</v>
      </c>
      <c r="O202" s="190">
        <f t="shared" si="165"/>
        <v>40.45977011461769</v>
      </c>
      <c r="P202" s="190">
        <f t="shared" si="166"/>
        <v>40.45977011461769</v>
      </c>
      <c r="Q202" s="191">
        <f t="shared" si="167"/>
        <v>34.341463414439126</v>
      </c>
      <c r="R202" s="192" t="s">
        <v>57</v>
      </c>
      <c r="S202" s="193">
        <v>38</v>
      </c>
      <c r="T202" s="194">
        <v>2</v>
      </c>
      <c r="U202" s="195">
        <v>48</v>
      </c>
      <c r="V202" s="196">
        <v>8</v>
      </c>
      <c r="W202" s="219">
        <v>0</v>
      </c>
      <c r="X202" s="220">
        <v>0</v>
      </c>
      <c r="Y202" s="199">
        <f t="shared" si="168"/>
        <v>96</v>
      </c>
      <c r="Z202" s="200">
        <f t="shared" si="169"/>
        <v>152</v>
      </c>
      <c r="AA202" s="193">
        <v>51</v>
      </c>
      <c r="AB202" s="194">
        <v>0</v>
      </c>
      <c r="AC202" s="195">
        <v>81</v>
      </c>
      <c r="AD202" s="201">
        <v>0</v>
      </c>
      <c r="AE202" s="221">
        <v>0</v>
      </c>
      <c r="AF202" s="220">
        <v>0</v>
      </c>
      <c r="AG202" s="199">
        <f t="shared" si="170"/>
        <v>132</v>
      </c>
      <c r="AH202" s="200">
        <f t="shared" si="171"/>
        <v>213</v>
      </c>
      <c r="AI202" s="203">
        <f t="shared" si="176"/>
        <v>228</v>
      </c>
      <c r="AJ202" s="204">
        <f t="shared" si="176"/>
        <v>365</v>
      </c>
      <c r="AK202" s="193">
        <v>0</v>
      </c>
      <c r="AL202" s="194">
        <v>0</v>
      </c>
      <c r="AM202" s="195">
        <v>62</v>
      </c>
      <c r="AN202" s="196">
        <v>0</v>
      </c>
      <c r="AO202" s="219">
        <v>0</v>
      </c>
      <c r="AP202" s="220">
        <v>0</v>
      </c>
      <c r="AQ202" s="205">
        <f t="shared" si="172"/>
        <v>62</v>
      </c>
      <c r="AR202" s="206">
        <f t="shared" si="173"/>
        <v>124</v>
      </c>
      <c r="AS202" s="193">
        <v>0</v>
      </c>
      <c r="AT202" s="194">
        <v>0</v>
      </c>
      <c r="AU202" s="195">
        <v>62</v>
      </c>
      <c r="AV202" s="196">
        <v>0</v>
      </c>
      <c r="AW202" s="219">
        <v>0</v>
      </c>
      <c r="AX202" s="220">
        <v>0</v>
      </c>
      <c r="AY202" s="205">
        <f t="shared" si="174"/>
        <v>62</v>
      </c>
      <c r="AZ202" s="206">
        <f t="shared" si="175"/>
        <v>124</v>
      </c>
      <c r="BA202" s="207">
        <f t="shared" si="177"/>
        <v>124</v>
      </c>
      <c r="BB202" s="204">
        <f t="shared" si="177"/>
        <v>248</v>
      </c>
      <c r="BC202" s="208">
        <f t="shared" si="178"/>
        <v>158</v>
      </c>
      <c r="BD202" s="209">
        <f t="shared" si="178"/>
        <v>276</v>
      </c>
      <c r="BE202" s="210">
        <f t="shared" si="179"/>
        <v>194</v>
      </c>
      <c r="BF202" s="211">
        <f t="shared" si="179"/>
        <v>337</v>
      </c>
      <c r="BG202" s="212">
        <f t="shared" si="180"/>
        <v>352</v>
      </c>
      <c r="BH202" s="213">
        <f t="shared" si="180"/>
        <v>613</v>
      </c>
    </row>
    <row r="203" spans="1:60" ht="21" x14ac:dyDescent="0.3">
      <c r="A203" s="214" t="s">
        <v>782</v>
      </c>
      <c r="B203" s="306">
        <v>5</v>
      </c>
      <c r="C203" s="180">
        <v>15</v>
      </c>
      <c r="D203" s="215" t="s">
        <v>65</v>
      </c>
      <c r="E203" s="182" t="s">
        <v>843</v>
      </c>
      <c r="F203" s="183" t="s">
        <v>844</v>
      </c>
      <c r="G203" s="216" t="s">
        <v>845</v>
      </c>
      <c r="H203" s="217" t="s">
        <v>846</v>
      </c>
      <c r="I203" s="217" t="s">
        <v>847</v>
      </c>
      <c r="J203" s="218">
        <v>45856.208333333336</v>
      </c>
      <c r="K203" s="223">
        <f t="shared" si="162"/>
        <v>0.43125000000145519</v>
      </c>
      <c r="L203" s="222">
        <v>0</v>
      </c>
      <c r="M203" s="189">
        <f t="shared" si="163"/>
        <v>0.43125000000145519</v>
      </c>
      <c r="N203" s="189">
        <f t="shared" si="164"/>
        <v>0.46875</v>
      </c>
      <c r="O203" s="190">
        <f t="shared" si="165"/>
        <v>56.135265700293672</v>
      </c>
      <c r="P203" s="190">
        <f t="shared" si="166"/>
        <v>56.135265700293672</v>
      </c>
      <c r="Q203" s="191">
        <f t="shared" si="167"/>
        <v>51.644444444444446</v>
      </c>
      <c r="R203" s="192" t="s">
        <v>71</v>
      </c>
      <c r="S203" s="193">
        <v>127</v>
      </c>
      <c r="T203" s="194">
        <v>1</v>
      </c>
      <c r="U203" s="195">
        <v>134</v>
      </c>
      <c r="V203" s="196">
        <v>18</v>
      </c>
      <c r="W203" s="219">
        <v>0</v>
      </c>
      <c r="X203" s="220">
        <v>0</v>
      </c>
      <c r="Y203" s="199">
        <f t="shared" si="168"/>
        <v>280</v>
      </c>
      <c r="Z203" s="200">
        <f t="shared" si="169"/>
        <v>432</v>
      </c>
      <c r="AA203" s="193">
        <v>75</v>
      </c>
      <c r="AB203" s="194">
        <v>43</v>
      </c>
      <c r="AC203" s="195">
        <v>139</v>
      </c>
      <c r="AD203" s="201">
        <v>40</v>
      </c>
      <c r="AE203" s="221">
        <v>0</v>
      </c>
      <c r="AF203" s="220">
        <v>4</v>
      </c>
      <c r="AG203" s="199">
        <f t="shared" si="170"/>
        <v>301</v>
      </c>
      <c r="AH203" s="200">
        <f t="shared" si="171"/>
        <v>484</v>
      </c>
      <c r="AI203" s="203">
        <f t="shared" si="176"/>
        <v>581</v>
      </c>
      <c r="AJ203" s="204">
        <f t="shared" si="176"/>
        <v>916</v>
      </c>
      <c r="AK203" s="193">
        <v>0</v>
      </c>
      <c r="AL203" s="194">
        <v>0</v>
      </c>
      <c r="AM203" s="195">
        <v>0</v>
      </c>
      <c r="AN203" s="196">
        <v>0</v>
      </c>
      <c r="AO203" s="219">
        <v>0</v>
      </c>
      <c r="AP203" s="220">
        <v>0</v>
      </c>
      <c r="AQ203" s="205">
        <f t="shared" si="172"/>
        <v>0</v>
      </c>
      <c r="AR203" s="206">
        <f t="shared" si="173"/>
        <v>0</v>
      </c>
      <c r="AS203" s="193">
        <v>0</v>
      </c>
      <c r="AT203" s="194">
        <v>0</v>
      </c>
      <c r="AU203" s="195">
        <v>0</v>
      </c>
      <c r="AV203" s="196">
        <v>0</v>
      </c>
      <c r="AW203" s="219">
        <v>0</v>
      </c>
      <c r="AX203" s="220">
        <v>0</v>
      </c>
      <c r="AY203" s="205">
        <f t="shared" si="174"/>
        <v>0</v>
      </c>
      <c r="AZ203" s="206">
        <f t="shared" si="175"/>
        <v>0</v>
      </c>
      <c r="BA203" s="207">
        <f t="shared" si="177"/>
        <v>0</v>
      </c>
      <c r="BB203" s="204">
        <f t="shared" si="177"/>
        <v>0</v>
      </c>
      <c r="BC203" s="208">
        <f t="shared" si="178"/>
        <v>280</v>
      </c>
      <c r="BD203" s="209">
        <f t="shared" si="178"/>
        <v>432</v>
      </c>
      <c r="BE203" s="210">
        <f t="shared" si="179"/>
        <v>301</v>
      </c>
      <c r="BF203" s="211">
        <f t="shared" si="179"/>
        <v>484</v>
      </c>
      <c r="BG203" s="212">
        <f t="shared" si="180"/>
        <v>581</v>
      </c>
      <c r="BH203" s="213">
        <f t="shared" si="180"/>
        <v>916</v>
      </c>
    </row>
    <row r="204" spans="1:60" ht="21" x14ac:dyDescent="0.3">
      <c r="A204" s="214" t="s">
        <v>782</v>
      </c>
      <c r="B204" s="306">
        <v>10</v>
      </c>
      <c r="C204" s="180">
        <v>16</v>
      </c>
      <c r="D204" s="215" t="s">
        <v>51</v>
      </c>
      <c r="E204" s="182" t="s">
        <v>848</v>
      </c>
      <c r="F204" s="183" t="s">
        <v>819</v>
      </c>
      <c r="G204" s="216" t="s">
        <v>849</v>
      </c>
      <c r="H204" s="217" t="s">
        <v>850</v>
      </c>
      <c r="I204" s="217" t="s">
        <v>851</v>
      </c>
      <c r="J204" s="218">
        <v>45857.458333333336</v>
      </c>
      <c r="K204" s="223">
        <f t="shared" si="162"/>
        <v>0.60486111111094942</v>
      </c>
      <c r="L204" s="222">
        <v>0</v>
      </c>
      <c r="M204" s="189">
        <f t="shared" si="163"/>
        <v>0.60486111111094942</v>
      </c>
      <c r="N204" s="189">
        <f t="shared" si="164"/>
        <v>0.67013888889050577</v>
      </c>
      <c r="O204" s="190">
        <f t="shared" si="165"/>
        <v>42.02066590127415</v>
      </c>
      <c r="P204" s="190">
        <f t="shared" si="166"/>
        <v>42.02066590127415</v>
      </c>
      <c r="Q204" s="191">
        <f t="shared" si="167"/>
        <v>37.927461139804862</v>
      </c>
      <c r="R204" s="192" t="s">
        <v>57</v>
      </c>
      <c r="S204" s="193">
        <v>160</v>
      </c>
      <c r="T204" s="194">
        <v>1</v>
      </c>
      <c r="U204" s="195">
        <v>109</v>
      </c>
      <c r="V204" s="196">
        <v>27</v>
      </c>
      <c r="W204" s="219">
        <v>0</v>
      </c>
      <c r="X204" s="220">
        <v>1</v>
      </c>
      <c r="Y204" s="199">
        <f t="shared" si="168"/>
        <v>298</v>
      </c>
      <c r="Z204" s="200">
        <f t="shared" si="169"/>
        <v>435</v>
      </c>
      <c r="AA204" s="193">
        <v>102</v>
      </c>
      <c r="AB204" s="194">
        <v>40</v>
      </c>
      <c r="AC204" s="195">
        <v>120</v>
      </c>
      <c r="AD204" s="201">
        <v>25</v>
      </c>
      <c r="AE204" s="221">
        <v>0</v>
      </c>
      <c r="AF204" s="220">
        <v>25</v>
      </c>
      <c r="AG204" s="199">
        <f t="shared" si="170"/>
        <v>312</v>
      </c>
      <c r="AH204" s="200">
        <f t="shared" si="171"/>
        <v>482</v>
      </c>
      <c r="AI204" s="203">
        <f t="shared" si="176"/>
        <v>610</v>
      </c>
      <c r="AJ204" s="204">
        <f t="shared" si="176"/>
        <v>917</v>
      </c>
      <c r="AK204" s="193">
        <v>0</v>
      </c>
      <c r="AL204" s="194">
        <v>0</v>
      </c>
      <c r="AM204" s="195">
        <v>0</v>
      </c>
      <c r="AN204" s="196">
        <v>0</v>
      </c>
      <c r="AO204" s="219">
        <v>0</v>
      </c>
      <c r="AP204" s="220">
        <v>0</v>
      </c>
      <c r="AQ204" s="205">
        <f t="shared" si="172"/>
        <v>0</v>
      </c>
      <c r="AR204" s="206">
        <f t="shared" si="173"/>
        <v>0</v>
      </c>
      <c r="AS204" s="193">
        <v>0</v>
      </c>
      <c r="AT204" s="194">
        <v>0</v>
      </c>
      <c r="AU204" s="195">
        <v>0</v>
      </c>
      <c r="AV204" s="196">
        <v>0</v>
      </c>
      <c r="AW204" s="219">
        <v>0</v>
      </c>
      <c r="AX204" s="220">
        <v>0</v>
      </c>
      <c r="AY204" s="205">
        <f t="shared" si="174"/>
        <v>0</v>
      </c>
      <c r="AZ204" s="206">
        <f t="shared" si="175"/>
        <v>0</v>
      </c>
      <c r="BA204" s="207">
        <f t="shared" si="177"/>
        <v>0</v>
      </c>
      <c r="BB204" s="204">
        <f t="shared" si="177"/>
        <v>0</v>
      </c>
      <c r="BC204" s="208">
        <f t="shared" si="178"/>
        <v>298</v>
      </c>
      <c r="BD204" s="209">
        <f t="shared" si="178"/>
        <v>435</v>
      </c>
      <c r="BE204" s="210">
        <f t="shared" si="179"/>
        <v>312</v>
      </c>
      <c r="BF204" s="211">
        <f t="shared" si="179"/>
        <v>482</v>
      </c>
      <c r="BG204" s="212">
        <f t="shared" si="180"/>
        <v>610</v>
      </c>
      <c r="BH204" s="213">
        <f t="shared" si="180"/>
        <v>917</v>
      </c>
    </row>
    <row r="205" spans="1:60" ht="21" x14ac:dyDescent="0.3">
      <c r="A205" s="214" t="s">
        <v>782</v>
      </c>
      <c r="B205" s="306">
        <v>2</v>
      </c>
      <c r="C205" s="180">
        <v>17</v>
      </c>
      <c r="D205" s="215" t="s">
        <v>535</v>
      </c>
      <c r="E205" s="182" t="s">
        <v>852</v>
      </c>
      <c r="F205" s="183" t="s">
        <v>853</v>
      </c>
      <c r="G205" s="216" t="s">
        <v>854</v>
      </c>
      <c r="H205" s="217" t="s">
        <v>855</v>
      </c>
      <c r="I205" s="217" t="s">
        <v>856</v>
      </c>
      <c r="J205" s="218">
        <v>45860.166666666664</v>
      </c>
      <c r="K205" s="223">
        <f t="shared" si="162"/>
        <v>0.83402777778246673</v>
      </c>
      <c r="L205" s="222">
        <v>0.15277777778101154</v>
      </c>
      <c r="M205" s="189">
        <f t="shared" si="163"/>
        <v>0.68125000000145519</v>
      </c>
      <c r="N205" s="189">
        <f t="shared" si="164"/>
        <v>0.92013888888322981</v>
      </c>
      <c r="O205" s="190">
        <f t="shared" si="165"/>
        <v>36.330275229280197</v>
      </c>
      <c r="P205" s="190">
        <f t="shared" si="166"/>
        <v>29.675270607659971</v>
      </c>
      <c r="Q205" s="191">
        <f t="shared" si="167"/>
        <v>26.898113207712598</v>
      </c>
      <c r="R205" s="192" t="s">
        <v>50</v>
      </c>
      <c r="S205" s="193">
        <v>155</v>
      </c>
      <c r="T205" s="194">
        <v>1</v>
      </c>
      <c r="U205" s="195">
        <v>126</v>
      </c>
      <c r="V205" s="196">
        <v>25</v>
      </c>
      <c r="W205" s="219">
        <v>0</v>
      </c>
      <c r="X205" s="220">
        <v>0</v>
      </c>
      <c r="Y205" s="199">
        <f t="shared" si="168"/>
        <v>307</v>
      </c>
      <c r="Z205" s="200">
        <f t="shared" si="169"/>
        <v>458</v>
      </c>
      <c r="AA205" s="193">
        <v>94</v>
      </c>
      <c r="AB205" s="194">
        <v>15</v>
      </c>
      <c r="AC205" s="195">
        <v>142</v>
      </c>
      <c r="AD205" s="201">
        <v>36</v>
      </c>
      <c r="AE205" s="221">
        <v>0</v>
      </c>
      <c r="AF205" s="220">
        <v>0</v>
      </c>
      <c r="AG205" s="199">
        <f t="shared" si="170"/>
        <v>287</v>
      </c>
      <c r="AH205" s="200">
        <f t="shared" si="171"/>
        <v>465</v>
      </c>
      <c r="AI205" s="203">
        <f t="shared" si="176"/>
        <v>594</v>
      </c>
      <c r="AJ205" s="204">
        <f t="shared" si="176"/>
        <v>923</v>
      </c>
      <c r="AK205" s="193">
        <v>0</v>
      </c>
      <c r="AL205" s="194">
        <v>0</v>
      </c>
      <c r="AM205" s="195">
        <v>0</v>
      </c>
      <c r="AN205" s="196">
        <v>0</v>
      </c>
      <c r="AO205" s="219">
        <v>0</v>
      </c>
      <c r="AP205" s="220">
        <v>0</v>
      </c>
      <c r="AQ205" s="205">
        <f t="shared" si="172"/>
        <v>0</v>
      </c>
      <c r="AR205" s="206">
        <f t="shared" si="173"/>
        <v>0</v>
      </c>
      <c r="AS205" s="193">
        <v>0</v>
      </c>
      <c r="AT205" s="194">
        <v>0</v>
      </c>
      <c r="AU205" s="195">
        <v>0</v>
      </c>
      <c r="AV205" s="196">
        <v>0</v>
      </c>
      <c r="AW205" s="219">
        <v>0</v>
      </c>
      <c r="AX205" s="220">
        <v>0</v>
      </c>
      <c r="AY205" s="205">
        <f t="shared" si="174"/>
        <v>0</v>
      </c>
      <c r="AZ205" s="206">
        <f t="shared" si="175"/>
        <v>0</v>
      </c>
      <c r="BA205" s="207">
        <f t="shared" si="177"/>
        <v>0</v>
      </c>
      <c r="BB205" s="204">
        <f t="shared" si="177"/>
        <v>0</v>
      </c>
      <c r="BC205" s="208">
        <f t="shared" si="178"/>
        <v>307</v>
      </c>
      <c r="BD205" s="209">
        <f t="shared" si="178"/>
        <v>458</v>
      </c>
      <c r="BE205" s="210">
        <f t="shared" si="179"/>
        <v>287</v>
      </c>
      <c r="BF205" s="211">
        <f t="shared" si="179"/>
        <v>465</v>
      </c>
      <c r="BG205" s="212">
        <f t="shared" si="180"/>
        <v>594</v>
      </c>
      <c r="BH205" s="213">
        <f t="shared" si="180"/>
        <v>923</v>
      </c>
    </row>
    <row r="206" spans="1:60" ht="21" x14ac:dyDescent="0.3">
      <c r="A206" s="214" t="s">
        <v>782</v>
      </c>
      <c r="B206" s="306">
        <v>6</v>
      </c>
      <c r="C206" s="180">
        <v>18</v>
      </c>
      <c r="D206" s="215" t="s">
        <v>79</v>
      </c>
      <c r="E206" s="182" t="s">
        <v>857</v>
      </c>
      <c r="F206" s="183" t="s">
        <v>844</v>
      </c>
      <c r="G206" s="216" t="s">
        <v>858</v>
      </c>
      <c r="H206" s="217" t="s">
        <v>859</v>
      </c>
      <c r="I206" s="217" t="s">
        <v>860</v>
      </c>
      <c r="J206" s="218">
        <v>45860.583333333336</v>
      </c>
      <c r="K206" s="223">
        <f t="shared" si="162"/>
        <v>0.44791666666424135</v>
      </c>
      <c r="L206" s="222">
        <v>0</v>
      </c>
      <c r="M206" s="189">
        <f t="shared" si="163"/>
        <v>0.44791666666424135</v>
      </c>
      <c r="N206" s="189">
        <f t="shared" si="164"/>
        <v>0.51041666667151731</v>
      </c>
      <c r="O206" s="190">
        <f t="shared" si="165"/>
        <v>54.883720930529734</v>
      </c>
      <c r="P206" s="190">
        <f t="shared" si="166"/>
        <v>54.883720930529734</v>
      </c>
      <c r="Q206" s="191">
        <f t="shared" si="167"/>
        <v>48.163265305664737</v>
      </c>
      <c r="R206" s="192" t="s">
        <v>71</v>
      </c>
      <c r="S206" s="193">
        <v>128</v>
      </c>
      <c r="T206" s="194">
        <v>1</v>
      </c>
      <c r="U206" s="195">
        <v>148</v>
      </c>
      <c r="V206" s="196">
        <v>19</v>
      </c>
      <c r="W206" s="219">
        <v>0</v>
      </c>
      <c r="X206" s="220">
        <v>4</v>
      </c>
      <c r="Y206" s="199">
        <f t="shared" si="168"/>
        <v>300</v>
      </c>
      <c r="Z206" s="200">
        <f t="shared" si="169"/>
        <v>471</v>
      </c>
      <c r="AA206" s="193">
        <v>80</v>
      </c>
      <c r="AB206" s="194">
        <v>40</v>
      </c>
      <c r="AC206" s="195">
        <v>138</v>
      </c>
      <c r="AD206" s="201">
        <v>27</v>
      </c>
      <c r="AE206" s="221">
        <v>0</v>
      </c>
      <c r="AF206" s="220">
        <v>5</v>
      </c>
      <c r="AG206" s="199">
        <f t="shared" si="170"/>
        <v>290</v>
      </c>
      <c r="AH206" s="200">
        <f t="shared" si="171"/>
        <v>460</v>
      </c>
      <c r="AI206" s="203">
        <f t="shared" si="176"/>
        <v>590</v>
      </c>
      <c r="AJ206" s="204">
        <f t="shared" si="176"/>
        <v>931</v>
      </c>
      <c r="AK206" s="193">
        <v>0</v>
      </c>
      <c r="AL206" s="194">
        <v>0</v>
      </c>
      <c r="AM206" s="195">
        <v>0</v>
      </c>
      <c r="AN206" s="196">
        <v>0</v>
      </c>
      <c r="AO206" s="219">
        <v>0</v>
      </c>
      <c r="AP206" s="220">
        <v>0</v>
      </c>
      <c r="AQ206" s="205">
        <f t="shared" si="172"/>
        <v>0</v>
      </c>
      <c r="AR206" s="206">
        <f t="shared" si="173"/>
        <v>0</v>
      </c>
      <c r="AS206" s="193">
        <v>0</v>
      </c>
      <c r="AT206" s="194">
        <v>0</v>
      </c>
      <c r="AU206" s="195">
        <v>0</v>
      </c>
      <c r="AV206" s="196">
        <v>0</v>
      </c>
      <c r="AW206" s="219">
        <v>0</v>
      </c>
      <c r="AX206" s="220">
        <v>0</v>
      </c>
      <c r="AY206" s="205">
        <f t="shared" si="174"/>
        <v>0</v>
      </c>
      <c r="AZ206" s="206">
        <f t="shared" si="175"/>
        <v>0</v>
      </c>
      <c r="BA206" s="207">
        <f t="shared" si="177"/>
        <v>0</v>
      </c>
      <c r="BB206" s="204">
        <f t="shared" si="177"/>
        <v>0</v>
      </c>
      <c r="BC206" s="208">
        <f t="shared" si="178"/>
        <v>300</v>
      </c>
      <c r="BD206" s="209">
        <f t="shared" si="178"/>
        <v>471</v>
      </c>
      <c r="BE206" s="210">
        <f t="shared" si="179"/>
        <v>290</v>
      </c>
      <c r="BF206" s="211">
        <f t="shared" si="179"/>
        <v>460</v>
      </c>
      <c r="BG206" s="212">
        <f t="shared" si="180"/>
        <v>590</v>
      </c>
      <c r="BH206" s="213">
        <f t="shared" si="180"/>
        <v>931</v>
      </c>
    </row>
    <row r="207" spans="1:60" ht="21" x14ac:dyDescent="0.3">
      <c r="A207" s="214" t="s">
        <v>782</v>
      </c>
      <c r="B207" s="306">
        <v>11</v>
      </c>
      <c r="C207" s="180">
        <v>19</v>
      </c>
      <c r="D207" s="215" t="s">
        <v>231</v>
      </c>
      <c r="E207" s="182" t="s">
        <v>861</v>
      </c>
      <c r="F207" s="183" t="s">
        <v>734</v>
      </c>
      <c r="G207" s="216" t="s">
        <v>862</v>
      </c>
      <c r="H207" s="217" t="s">
        <v>863</v>
      </c>
      <c r="I207" s="217" t="s">
        <v>864</v>
      </c>
      <c r="J207" s="218">
        <v>45861.583333333336</v>
      </c>
      <c r="K207" s="223">
        <f t="shared" si="162"/>
        <v>0.45624999999563443</v>
      </c>
      <c r="L207" s="222">
        <v>0</v>
      </c>
      <c r="M207" s="189">
        <f t="shared" si="163"/>
        <v>0.45624999999563443</v>
      </c>
      <c r="N207" s="189">
        <f t="shared" si="164"/>
        <v>0.59027777778101154</v>
      </c>
      <c r="O207" s="190">
        <f t="shared" si="165"/>
        <v>52.146118721960143</v>
      </c>
      <c r="P207" s="190">
        <f t="shared" si="166"/>
        <v>52.146118721960143</v>
      </c>
      <c r="Q207" s="191">
        <f t="shared" si="167"/>
        <v>40.305882352720367</v>
      </c>
      <c r="R207" s="192" t="s">
        <v>57</v>
      </c>
      <c r="S207" s="193">
        <v>148</v>
      </c>
      <c r="T207" s="194">
        <v>0</v>
      </c>
      <c r="U207" s="195">
        <v>126</v>
      </c>
      <c r="V207" s="196">
        <v>0</v>
      </c>
      <c r="W207" s="219">
        <v>0</v>
      </c>
      <c r="X207" s="220">
        <v>0</v>
      </c>
      <c r="Y207" s="199">
        <f t="shared" si="168"/>
        <v>274</v>
      </c>
      <c r="Z207" s="200">
        <f t="shared" si="169"/>
        <v>400</v>
      </c>
      <c r="AA207" s="193">
        <v>112</v>
      </c>
      <c r="AB207" s="194">
        <v>40</v>
      </c>
      <c r="AC207" s="195">
        <v>129</v>
      </c>
      <c r="AD207" s="201">
        <v>0</v>
      </c>
      <c r="AE207" s="221">
        <v>0</v>
      </c>
      <c r="AF207" s="220">
        <v>16</v>
      </c>
      <c r="AG207" s="199">
        <f t="shared" si="170"/>
        <v>297</v>
      </c>
      <c r="AH207" s="200">
        <f t="shared" si="171"/>
        <v>442</v>
      </c>
      <c r="AI207" s="203">
        <f t="shared" si="176"/>
        <v>571</v>
      </c>
      <c r="AJ207" s="204">
        <f t="shared" si="176"/>
        <v>842</v>
      </c>
      <c r="AK207" s="193">
        <v>0</v>
      </c>
      <c r="AL207" s="194">
        <v>0</v>
      </c>
      <c r="AM207" s="195">
        <v>0</v>
      </c>
      <c r="AN207" s="196">
        <v>0</v>
      </c>
      <c r="AO207" s="219">
        <v>0</v>
      </c>
      <c r="AP207" s="220">
        <v>0</v>
      </c>
      <c r="AQ207" s="205">
        <f t="shared" si="172"/>
        <v>0</v>
      </c>
      <c r="AR207" s="206">
        <f t="shared" si="173"/>
        <v>0</v>
      </c>
      <c r="AS207" s="193">
        <v>0</v>
      </c>
      <c r="AT207" s="194">
        <v>0</v>
      </c>
      <c r="AU207" s="195">
        <v>0</v>
      </c>
      <c r="AV207" s="196">
        <v>0</v>
      </c>
      <c r="AW207" s="219">
        <v>0</v>
      </c>
      <c r="AX207" s="220">
        <v>0</v>
      </c>
      <c r="AY207" s="205">
        <f t="shared" si="174"/>
        <v>0</v>
      </c>
      <c r="AZ207" s="206">
        <f t="shared" si="175"/>
        <v>0</v>
      </c>
      <c r="BA207" s="207">
        <f t="shared" si="177"/>
        <v>0</v>
      </c>
      <c r="BB207" s="204">
        <f t="shared" si="177"/>
        <v>0</v>
      </c>
      <c r="BC207" s="208">
        <f t="shared" si="178"/>
        <v>274</v>
      </c>
      <c r="BD207" s="209">
        <f t="shared" si="178"/>
        <v>400</v>
      </c>
      <c r="BE207" s="210">
        <f t="shared" si="179"/>
        <v>297</v>
      </c>
      <c r="BF207" s="211">
        <f t="shared" si="179"/>
        <v>442</v>
      </c>
      <c r="BG207" s="212">
        <f t="shared" si="180"/>
        <v>571</v>
      </c>
      <c r="BH207" s="213">
        <f t="shared" si="180"/>
        <v>842</v>
      </c>
    </row>
    <row r="208" spans="1:60" ht="21" x14ac:dyDescent="0.3">
      <c r="A208" s="214" t="s">
        <v>782</v>
      </c>
      <c r="B208" s="306">
        <v>12</v>
      </c>
      <c r="C208" s="180">
        <v>20</v>
      </c>
      <c r="D208" s="215" t="s">
        <v>72</v>
      </c>
      <c r="E208" s="182" t="s">
        <v>865</v>
      </c>
      <c r="F208" s="183" t="s">
        <v>704</v>
      </c>
      <c r="G208" s="216" t="s">
        <v>866</v>
      </c>
      <c r="H208" s="217" t="s">
        <v>867</v>
      </c>
      <c r="I208" s="217" t="s">
        <v>868</v>
      </c>
      <c r="J208" s="218">
        <v>45862.958333333336</v>
      </c>
      <c r="K208" s="223">
        <f t="shared" si="162"/>
        <v>0.42638888888905058</v>
      </c>
      <c r="L208" s="222">
        <v>0</v>
      </c>
      <c r="M208" s="189">
        <f t="shared" si="163"/>
        <v>0.42638888888905058</v>
      </c>
      <c r="N208" s="189">
        <f t="shared" si="164"/>
        <v>0.52083333333575865</v>
      </c>
      <c r="O208" s="190">
        <f t="shared" si="165"/>
        <v>35.081433224742398</v>
      </c>
      <c r="P208" s="190">
        <f t="shared" si="166"/>
        <v>35.081433224742398</v>
      </c>
      <c r="Q208" s="191">
        <f t="shared" si="167"/>
        <v>28.719999999866261</v>
      </c>
      <c r="R208" s="192" t="s">
        <v>57</v>
      </c>
      <c r="S208" s="193">
        <v>44</v>
      </c>
      <c r="T208" s="194">
        <v>0</v>
      </c>
      <c r="U208" s="195">
        <v>36</v>
      </c>
      <c r="V208" s="196">
        <v>5</v>
      </c>
      <c r="W208" s="219">
        <v>0</v>
      </c>
      <c r="X208" s="220">
        <v>0</v>
      </c>
      <c r="Y208" s="199">
        <f t="shared" si="168"/>
        <v>85</v>
      </c>
      <c r="Z208" s="200">
        <f t="shared" si="169"/>
        <v>126</v>
      </c>
      <c r="AA208" s="193">
        <v>121</v>
      </c>
      <c r="AB208" s="194">
        <v>0</v>
      </c>
      <c r="AC208" s="195">
        <v>91</v>
      </c>
      <c r="AD208" s="201">
        <v>60</v>
      </c>
      <c r="AE208" s="221">
        <v>0</v>
      </c>
      <c r="AF208" s="220">
        <v>0</v>
      </c>
      <c r="AG208" s="199">
        <f t="shared" si="170"/>
        <v>272</v>
      </c>
      <c r="AH208" s="200">
        <f t="shared" si="171"/>
        <v>423</v>
      </c>
      <c r="AI208" s="203">
        <f t="shared" si="176"/>
        <v>357</v>
      </c>
      <c r="AJ208" s="204">
        <f t="shared" si="176"/>
        <v>549</v>
      </c>
      <c r="AK208" s="193">
        <v>0</v>
      </c>
      <c r="AL208" s="194">
        <v>0</v>
      </c>
      <c r="AM208" s="195">
        <v>1</v>
      </c>
      <c r="AN208" s="196">
        <v>0</v>
      </c>
      <c r="AO208" s="219">
        <v>0</v>
      </c>
      <c r="AP208" s="220">
        <v>0</v>
      </c>
      <c r="AQ208" s="205">
        <f t="shared" si="172"/>
        <v>1</v>
      </c>
      <c r="AR208" s="206">
        <f t="shared" si="173"/>
        <v>2</v>
      </c>
      <c r="AS208" s="193">
        <v>0</v>
      </c>
      <c r="AT208" s="194">
        <v>0</v>
      </c>
      <c r="AU208" s="195">
        <v>1</v>
      </c>
      <c r="AV208" s="196">
        <v>0</v>
      </c>
      <c r="AW208" s="219">
        <v>0</v>
      </c>
      <c r="AX208" s="220">
        <v>0</v>
      </c>
      <c r="AY208" s="205">
        <f t="shared" si="174"/>
        <v>1</v>
      </c>
      <c r="AZ208" s="206">
        <f t="shared" si="175"/>
        <v>2</v>
      </c>
      <c r="BA208" s="207">
        <f t="shared" si="177"/>
        <v>2</v>
      </c>
      <c r="BB208" s="204">
        <f t="shared" si="177"/>
        <v>4</v>
      </c>
      <c r="BC208" s="208">
        <f t="shared" si="178"/>
        <v>86</v>
      </c>
      <c r="BD208" s="209">
        <f t="shared" si="178"/>
        <v>128</v>
      </c>
      <c r="BE208" s="210">
        <f t="shared" si="179"/>
        <v>273</v>
      </c>
      <c r="BF208" s="211">
        <f t="shared" si="179"/>
        <v>425</v>
      </c>
      <c r="BG208" s="212">
        <f t="shared" si="180"/>
        <v>359</v>
      </c>
      <c r="BH208" s="213">
        <f t="shared" si="180"/>
        <v>553</v>
      </c>
    </row>
    <row r="209" spans="1:60" ht="21" x14ac:dyDescent="0.3">
      <c r="A209" s="214" t="s">
        <v>782</v>
      </c>
      <c r="B209" s="306">
        <v>7</v>
      </c>
      <c r="C209" s="180">
        <v>21</v>
      </c>
      <c r="D209" s="215" t="s">
        <v>65</v>
      </c>
      <c r="E209" s="182" t="s">
        <v>869</v>
      </c>
      <c r="F209" s="183" t="s">
        <v>870</v>
      </c>
      <c r="G209" s="216" t="s">
        <v>871</v>
      </c>
      <c r="H209" s="217" t="s">
        <v>872</v>
      </c>
      <c r="I209" s="217" t="s">
        <v>873</v>
      </c>
      <c r="J209" s="218">
        <v>45865.354166666664</v>
      </c>
      <c r="K209" s="223">
        <f t="shared" si="162"/>
        <v>0.42152777777664596</v>
      </c>
      <c r="L209" s="222">
        <v>0</v>
      </c>
      <c r="M209" s="189">
        <f t="shared" si="163"/>
        <v>0.42152777777664596</v>
      </c>
      <c r="N209" s="189">
        <f t="shared" si="164"/>
        <v>0.47916666666424135</v>
      </c>
      <c r="O209" s="190">
        <f t="shared" si="165"/>
        <v>59.209225700323721</v>
      </c>
      <c r="P209" s="190">
        <f t="shared" si="166"/>
        <v>59.209225700323721</v>
      </c>
      <c r="Q209" s="191">
        <f t="shared" si="167"/>
        <v>52.086956522002772</v>
      </c>
      <c r="R209" s="192" t="s">
        <v>71</v>
      </c>
      <c r="S209" s="193">
        <v>126</v>
      </c>
      <c r="T209" s="194">
        <v>5</v>
      </c>
      <c r="U209" s="195">
        <v>150</v>
      </c>
      <c r="V209" s="196">
        <v>15</v>
      </c>
      <c r="W209" s="219">
        <v>0</v>
      </c>
      <c r="X209" s="220">
        <v>3</v>
      </c>
      <c r="Y209" s="199">
        <f t="shared" si="168"/>
        <v>299</v>
      </c>
      <c r="Z209" s="200">
        <f t="shared" si="169"/>
        <v>467</v>
      </c>
      <c r="AA209" s="193">
        <v>82</v>
      </c>
      <c r="AB209" s="194">
        <v>38</v>
      </c>
      <c r="AC209" s="195">
        <v>139</v>
      </c>
      <c r="AD209" s="201">
        <v>37</v>
      </c>
      <c r="AE209" s="221">
        <v>0</v>
      </c>
      <c r="AF209" s="220">
        <v>4</v>
      </c>
      <c r="AG209" s="199">
        <f t="shared" si="170"/>
        <v>300</v>
      </c>
      <c r="AH209" s="200">
        <f t="shared" si="171"/>
        <v>480</v>
      </c>
      <c r="AI209" s="203">
        <f t="shared" si="176"/>
        <v>599</v>
      </c>
      <c r="AJ209" s="204">
        <f t="shared" si="176"/>
        <v>947</v>
      </c>
      <c r="AK209" s="193">
        <v>0</v>
      </c>
      <c r="AL209" s="194">
        <v>0</v>
      </c>
      <c r="AM209" s="195">
        <v>0</v>
      </c>
      <c r="AN209" s="196">
        <v>0</v>
      </c>
      <c r="AO209" s="219">
        <v>0</v>
      </c>
      <c r="AP209" s="220">
        <v>0</v>
      </c>
      <c r="AQ209" s="205">
        <f t="shared" si="172"/>
        <v>0</v>
      </c>
      <c r="AR209" s="206">
        <f t="shared" si="173"/>
        <v>0</v>
      </c>
      <c r="AS209" s="193">
        <v>0</v>
      </c>
      <c r="AT209" s="194">
        <v>0</v>
      </c>
      <c r="AU209" s="195">
        <v>0</v>
      </c>
      <c r="AV209" s="196">
        <v>0</v>
      </c>
      <c r="AW209" s="219">
        <v>0</v>
      </c>
      <c r="AX209" s="220">
        <v>0</v>
      </c>
      <c r="AY209" s="205">
        <f t="shared" si="174"/>
        <v>0</v>
      </c>
      <c r="AZ209" s="206">
        <f t="shared" si="175"/>
        <v>0</v>
      </c>
      <c r="BA209" s="207">
        <f t="shared" si="177"/>
        <v>0</v>
      </c>
      <c r="BB209" s="204">
        <f t="shared" si="177"/>
        <v>0</v>
      </c>
      <c r="BC209" s="208">
        <f t="shared" si="178"/>
        <v>299</v>
      </c>
      <c r="BD209" s="209">
        <f t="shared" si="178"/>
        <v>467</v>
      </c>
      <c r="BE209" s="210">
        <f t="shared" si="179"/>
        <v>300</v>
      </c>
      <c r="BF209" s="211">
        <f t="shared" si="179"/>
        <v>480</v>
      </c>
      <c r="BG209" s="212">
        <f t="shared" si="180"/>
        <v>599</v>
      </c>
      <c r="BH209" s="213">
        <f t="shared" si="180"/>
        <v>947</v>
      </c>
    </row>
    <row r="210" spans="1:60" ht="21" x14ac:dyDescent="0.3">
      <c r="A210" s="214" t="s">
        <v>782</v>
      </c>
      <c r="B210" s="306">
        <v>13</v>
      </c>
      <c r="C210" s="180">
        <v>22</v>
      </c>
      <c r="D210" s="215" t="s">
        <v>655</v>
      </c>
      <c r="E210" s="182" t="s">
        <v>874</v>
      </c>
      <c r="F210" s="183" t="s">
        <v>875</v>
      </c>
      <c r="G210" s="216" t="s">
        <v>876</v>
      </c>
      <c r="H210" s="217" t="s">
        <v>877</v>
      </c>
      <c r="I210" s="217">
        <v>45865.302777777775</v>
      </c>
      <c r="J210" s="218">
        <v>45865.770833333336</v>
      </c>
      <c r="K210" s="223">
        <f t="shared" si="162"/>
        <v>0.18124999999417923</v>
      </c>
      <c r="L210" s="222">
        <v>0</v>
      </c>
      <c r="M210" s="189">
        <f t="shared" si="163"/>
        <v>0.18124999999417923</v>
      </c>
      <c r="N210" s="189">
        <f t="shared" si="164"/>
        <v>0.66319444444525288</v>
      </c>
      <c r="O210" s="190">
        <f t="shared" si="165"/>
        <v>16.321839080983938</v>
      </c>
      <c r="P210" s="190">
        <f t="shared" si="166"/>
        <v>16.321839080983938</v>
      </c>
      <c r="Q210" s="191">
        <f t="shared" si="167"/>
        <v>4.4607329842877563</v>
      </c>
      <c r="R210" s="192" t="s">
        <v>57</v>
      </c>
      <c r="S210" s="193">
        <v>0</v>
      </c>
      <c r="T210" s="194">
        <v>0</v>
      </c>
      <c r="U210" s="195">
        <v>5</v>
      </c>
      <c r="V210" s="196">
        <v>66</v>
      </c>
      <c r="W210" s="219">
        <v>0</v>
      </c>
      <c r="X210" s="220">
        <v>0</v>
      </c>
      <c r="Y210" s="199">
        <f t="shared" si="168"/>
        <v>71</v>
      </c>
      <c r="Z210" s="200">
        <f t="shared" si="169"/>
        <v>142</v>
      </c>
      <c r="AA210" s="193">
        <v>0</v>
      </c>
      <c r="AB210" s="194">
        <v>0</v>
      </c>
      <c r="AC210" s="195">
        <v>0</v>
      </c>
      <c r="AD210" s="201">
        <v>0</v>
      </c>
      <c r="AE210" s="221">
        <v>0</v>
      </c>
      <c r="AF210" s="220">
        <v>0</v>
      </c>
      <c r="AG210" s="199">
        <f t="shared" si="170"/>
        <v>0</v>
      </c>
      <c r="AH210" s="200">
        <f t="shared" si="171"/>
        <v>0</v>
      </c>
      <c r="AI210" s="203">
        <f t="shared" si="176"/>
        <v>71</v>
      </c>
      <c r="AJ210" s="204">
        <f t="shared" si="176"/>
        <v>142</v>
      </c>
      <c r="AK210" s="193">
        <v>0</v>
      </c>
      <c r="AL210" s="194">
        <v>0</v>
      </c>
      <c r="AM210" s="195">
        <v>0</v>
      </c>
      <c r="AN210" s="196">
        <v>0</v>
      </c>
      <c r="AO210" s="219">
        <v>0</v>
      </c>
      <c r="AP210" s="220">
        <v>0</v>
      </c>
      <c r="AQ210" s="205">
        <f t="shared" si="172"/>
        <v>0</v>
      </c>
      <c r="AR210" s="206">
        <f t="shared" si="173"/>
        <v>0</v>
      </c>
      <c r="AS210" s="193">
        <v>0</v>
      </c>
      <c r="AT210" s="194">
        <v>0</v>
      </c>
      <c r="AU210" s="195">
        <v>0</v>
      </c>
      <c r="AV210" s="196">
        <v>0</v>
      </c>
      <c r="AW210" s="219">
        <v>0</v>
      </c>
      <c r="AX210" s="220">
        <v>0</v>
      </c>
      <c r="AY210" s="205">
        <f t="shared" si="174"/>
        <v>0</v>
      </c>
      <c r="AZ210" s="206">
        <f t="shared" si="175"/>
        <v>0</v>
      </c>
      <c r="BA210" s="207">
        <f t="shared" si="177"/>
        <v>0</v>
      </c>
      <c r="BB210" s="204">
        <f t="shared" si="177"/>
        <v>0</v>
      </c>
      <c r="BC210" s="208">
        <f t="shared" si="178"/>
        <v>71</v>
      </c>
      <c r="BD210" s="209">
        <f t="shared" si="178"/>
        <v>142</v>
      </c>
      <c r="BE210" s="210">
        <f t="shared" si="179"/>
        <v>0</v>
      </c>
      <c r="BF210" s="211">
        <f t="shared" si="179"/>
        <v>0</v>
      </c>
      <c r="BG210" s="212">
        <f t="shared" si="180"/>
        <v>71</v>
      </c>
      <c r="BH210" s="213">
        <f t="shared" si="180"/>
        <v>142</v>
      </c>
    </row>
    <row r="211" spans="1:60" ht="21" x14ac:dyDescent="0.3">
      <c r="A211" s="214" t="s">
        <v>782</v>
      </c>
      <c r="B211" s="306">
        <v>14</v>
      </c>
      <c r="C211" s="180">
        <v>23</v>
      </c>
      <c r="D211" s="215" t="s">
        <v>58</v>
      </c>
      <c r="E211" s="182" t="s">
        <v>878</v>
      </c>
      <c r="F211" s="183" t="s">
        <v>793</v>
      </c>
      <c r="G211" s="216" t="s">
        <v>879</v>
      </c>
      <c r="H211" s="217" t="s">
        <v>880</v>
      </c>
      <c r="I211" s="217" t="s">
        <v>881</v>
      </c>
      <c r="J211" s="218">
        <v>45866.770833333336</v>
      </c>
      <c r="K211" s="223">
        <f t="shared" si="162"/>
        <v>0.44375000000582077</v>
      </c>
      <c r="L211" s="222">
        <v>0</v>
      </c>
      <c r="M211" s="189">
        <f t="shared" si="163"/>
        <v>0.44375000000582077</v>
      </c>
      <c r="N211" s="189">
        <f t="shared" si="164"/>
        <v>0.59027777778101154</v>
      </c>
      <c r="O211" s="190">
        <f t="shared" si="165"/>
        <v>47.793427229420026</v>
      </c>
      <c r="P211" s="190">
        <f t="shared" si="166"/>
        <v>47.793427229420026</v>
      </c>
      <c r="Q211" s="191">
        <f t="shared" si="167"/>
        <v>35.929411764509048</v>
      </c>
      <c r="R211" s="192" t="s">
        <v>57</v>
      </c>
      <c r="S211" s="193">
        <v>152</v>
      </c>
      <c r="T211" s="194">
        <v>146</v>
      </c>
      <c r="U211" s="195">
        <v>96</v>
      </c>
      <c r="V211" s="196">
        <v>0</v>
      </c>
      <c r="W211" s="219">
        <v>0</v>
      </c>
      <c r="X211" s="220">
        <v>4</v>
      </c>
      <c r="Y211" s="199">
        <f t="shared" si="168"/>
        <v>398</v>
      </c>
      <c r="Z211" s="200">
        <f t="shared" si="169"/>
        <v>498</v>
      </c>
      <c r="AA211" s="193">
        <v>66</v>
      </c>
      <c r="AB211" s="194">
        <v>0</v>
      </c>
      <c r="AC211" s="195">
        <v>45</v>
      </c>
      <c r="AD211" s="201">
        <v>0</v>
      </c>
      <c r="AE211" s="221">
        <v>0</v>
      </c>
      <c r="AF211" s="220">
        <v>0</v>
      </c>
      <c r="AG211" s="199">
        <f t="shared" si="170"/>
        <v>111</v>
      </c>
      <c r="AH211" s="200">
        <f t="shared" si="171"/>
        <v>156</v>
      </c>
      <c r="AI211" s="203">
        <f t="shared" si="176"/>
        <v>509</v>
      </c>
      <c r="AJ211" s="204">
        <f t="shared" si="176"/>
        <v>654</v>
      </c>
      <c r="AK211" s="193">
        <v>0</v>
      </c>
      <c r="AL211" s="194">
        <v>0</v>
      </c>
      <c r="AM211" s="195">
        <v>0</v>
      </c>
      <c r="AN211" s="196">
        <v>0</v>
      </c>
      <c r="AO211" s="219">
        <v>0</v>
      </c>
      <c r="AP211" s="220">
        <v>0</v>
      </c>
      <c r="AQ211" s="205">
        <f t="shared" si="172"/>
        <v>0</v>
      </c>
      <c r="AR211" s="206">
        <f t="shared" si="173"/>
        <v>0</v>
      </c>
      <c r="AS211" s="193">
        <v>0</v>
      </c>
      <c r="AT211" s="194">
        <v>0</v>
      </c>
      <c r="AU211" s="195">
        <v>0</v>
      </c>
      <c r="AV211" s="196">
        <v>0</v>
      </c>
      <c r="AW211" s="219">
        <v>0</v>
      </c>
      <c r="AX211" s="220">
        <v>0</v>
      </c>
      <c r="AY211" s="205">
        <f t="shared" si="174"/>
        <v>0</v>
      </c>
      <c r="AZ211" s="206">
        <f t="shared" si="175"/>
        <v>0</v>
      </c>
      <c r="BA211" s="207">
        <f t="shared" si="177"/>
        <v>0</v>
      </c>
      <c r="BB211" s="204">
        <f t="shared" si="177"/>
        <v>0</v>
      </c>
      <c r="BC211" s="208">
        <f t="shared" si="178"/>
        <v>398</v>
      </c>
      <c r="BD211" s="209">
        <f t="shared" si="178"/>
        <v>498</v>
      </c>
      <c r="BE211" s="210">
        <f t="shared" si="179"/>
        <v>111</v>
      </c>
      <c r="BF211" s="211">
        <f t="shared" si="179"/>
        <v>156</v>
      </c>
      <c r="BG211" s="212">
        <f t="shared" si="180"/>
        <v>509</v>
      </c>
      <c r="BH211" s="213">
        <f t="shared" si="180"/>
        <v>654</v>
      </c>
    </row>
    <row r="212" spans="1:60" ht="21" x14ac:dyDescent="0.3">
      <c r="A212" s="214" t="s">
        <v>782</v>
      </c>
      <c r="B212" s="306">
        <v>15</v>
      </c>
      <c r="C212" s="180">
        <v>24</v>
      </c>
      <c r="D212" s="215" t="s">
        <v>51</v>
      </c>
      <c r="E212" s="182" t="s">
        <v>882</v>
      </c>
      <c r="F212" s="183" t="s">
        <v>844</v>
      </c>
      <c r="G212" s="216" t="s">
        <v>883</v>
      </c>
      <c r="H212" s="217" t="s">
        <v>884</v>
      </c>
      <c r="I212" s="217" t="s">
        <v>885</v>
      </c>
      <c r="J212" s="218">
        <v>45867.416666666664</v>
      </c>
      <c r="K212" s="223">
        <f t="shared" si="162"/>
        <v>0.54444444444379769</v>
      </c>
      <c r="L212" s="222">
        <v>0</v>
      </c>
      <c r="M212" s="189">
        <f t="shared" si="163"/>
        <v>0.54444444444379769</v>
      </c>
      <c r="N212" s="189">
        <f t="shared" si="164"/>
        <v>0.59027777777373558</v>
      </c>
      <c r="O212" s="190">
        <f t="shared" si="165"/>
        <v>46.530612244953232</v>
      </c>
      <c r="P212" s="190">
        <f t="shared" si="166"/>
        <v>46.530612244953232</v>
      </c>
      <c r="Q212" s="191">
        <f t="shared" si="167"/>
        <v>42.917647059117428</v>
      </c>
      <c r="R212" s="192" t="s">
        <v>57</v>
      </c>
      <c r="S212" s="193">
        <v>164</v>
      </c>
      <c r="T212" s="194">
        <v>1</v>
      </c>
      <c r="U212" s="195">
        <v>111</v>
      </c>
      <c r="V212" s="196">
        <v>21</v>
      </c>
      <c r="W212" s="219">
        <v>0</v>
      </c>
      <c r="X212" s="220">
        <v>0</v>
      </c>
      <c r="Y212" s="199">
        <f t="shared" si="168"/>
        <v>297</v>
      </c>
      <c r="Z212" s="200">
        <f t="shared" si="169"/>
        <v>429</v>
      </c>
      <c r="AA212" s="193">
        <v>124</v>
      </c>
      <c r="AB212" s="194">
        <v>39</v>
      </c>
      <c r="AC212" s="195">
        <v>127</v>
      </c>
      <c r="AD212" s="201">
        <v>0</v>
      </c>
      <c r="AE212" s="221">
        <v>0</v>
      </c>
      <c r="AF212" s="220">
        <v>21</v>
      </c>
      <c r="AG212" s="199">
        <f t="shared" si="170"/>
        <v>311</v>
      </c>
      <c r="AH212" s="200">
        <f t="shared" si="171"/>
        <v>459</v>
      </c>
      <c r="AI212" s="203">
        <f t="shared" si="176"/>
        <v>608</v>
      </c>
      <c r="AJ212" s="204">
        <f t="shared" si="176"/>
        <v>888</v>
      </c>
      <c r="AK212" s="193">
        <v>0</v>
      </c>
      <c r="AL212" s="194">
        <v>0</v>
      </c>
      <c r="AM212" s="195">
        <v>0</v>
      </c>
      <c r="AN212" s="196">
        <v>0</v>
      </c>
      <c r="AO212" s="219">
        <v>0</v>
      </c>
      <c r="AP212" s="220">
        <v>0</v>
      </c>
      <c r="AQ212" s="205">
        <f t="shared" si="172"/>
        <v>0</v>
      </c>
      <c r="AR212" s="206">
        <f t="shared" si="173"/>
        <v>0</v>
      </c>
      <c r="AS212" s="193">
        <v>0</v>
      </c>
      <c r="AT212" s="194">
        <v>0</v>
      </c>
      <c r="AU212" s="195">
        <v>0</v>
      </c>
      <c r="AV212" s="196">
        <v>0</v>
      </c>
      <c r="AW212" s="219">
        <v>0</v>
      </c>
      <c r="AX212" s="220">
        <v>0</v>
      </c>
      <c r="AY212" s="205">
        <f t="shared" si="174"/>
        <v>0</v>
      </c>
      <c r="AZ212" s="206">
        <f t="shared" si="175"/>
        <v>0</v>
      </c>
      <c r="BA212" s="207">
        <f t="shared" si="177"/>
        <v>0</v>
      </c>
      <c r="BB212" s="204">
        <f t="shared" si="177"/>
        <v>0</v>
      </c>
      <c r="BC212" s="208">
        <f t="shared" si="178"/>
        <v>297</v>
      </c>
      <c r="BD212" s="209">
        <f t="shared" si="178"/>
        <v>429</v>
      </c>
      <c r="BE212" s="210">
        <f t="shared" si="179"/>
        <v>311</v>
      </c>
      <c r="BF212" s="211">
        <f t="shared" si="179"/>
        <v>459</v>
      </c>
      <c r="BG212" s="212">
        <f t="shared" si="180"/>
        <v>608</v>
      </c>
      <c r="BH212" s="213">
        <f t="shared" si="180"/>
        <v>888</v>
      </c>
    </row>
    <row r="213" spans="1:60" ht="21" x14ac:dyDescent="0.3">
      <c r="A213" s="214" t="s">
        <v>782</v>
      </c>
      <c r="B213" s="306">
        <v>8</v>
      </c>
      <c r="C213" s="180">
        <v>25</v>
      </c>
      <c r="D213" s="215" t="s">
        <v>79</v>
      </c>
      <c r="E213" s="182" t="s">
        <v>886</v>
      </c>
      <c r="F213" s="183" t="s">
        <v>870</v>
      </c>
      <c r="G213" s="216" t="s">
        <v>887</v>
      </c>
      <c r="H213" s="217" t="s">
        <v>888</v>
      </c>
      <c r="I213" s="217" t="s">
        <v>889</v>
      </c>
      <c r="J213" s="218">
        <v>45868.194444444445</v>
      </c>
      <c r="K213" s="223">
        <f t="shared" si="162"/>
        <v>0.48680555555620231</v>
      </c>
      <c r="L213" s="222">
        <v>2.0833333328482695E-2</v>
      </c>
      <c r="M213" s="189">
        <f t="shared" si="163"/>
        <v>0.46597222222771961</v>
      </c>
      <c r="N213" s="189">
        <f t="shared" si="164"/>
        <v>0.51041666666424135</v>
      </c>
      <c r="O213" s="190">
        <f t="shared" si="165"/>
        <v>53.740685543330216</v>
      </c>
      <c r="P213" s="190">
        <f t="shared" si="166"/>
        <v>51.440798858704845</v>
      </c>
      <c r="Q213" s="191">
        <f t="shared" si="167"/>
        <v>49.061224490029041</v>
      </c>
      <c r="R213" s="192" t="s">
        <v>71</v>
      </c>
      <c r="S213" s="193">
        <v>131</v>
      </c>
      <c r="T213" s="194">
        <v>2</v>
      </c>
      <c r="U213" s="195">
        <v>150</v>
      </c>
      <c r="V213" s="196">
        <v>24</v>
      </c>
      <c r="W213" s="219">
        <v>0</v>
      </c>
      <c r="X213" s="220">
        <v>5</v>
      </c>
      <c r="Y213" s="199">
        <f t="shared" si="168"/>
        <v>312</v>
      </c>
      <c r="Z213" s="200">
        <f t="shared" si="169"/>
        <v>491</v>
      </c>
      <c r="AA213" s="193">
        <v>82</v>
      </c>
      <c r="AB213" s="194">
        <v>38</v>
      </c>
      <c r="AC213" s="195">
        <v>133</v>
      </c>
      <c r="AD213" s="201">
        <v>31</v>
      </c>
      <c r="AE213" s="221">
        <v>0</v>
      </c>
      <c r="AF213" s="220">
        <v>5</v>
      </c>
      <c r="AG213" s="199">
        <f t="shared" si="170"/>
        <v>289</v>
      </c>
      <c r="AH213" s="200">
        <f t="shared" si="171"/>
        <v>458</v>
      </c>
      <c r="AI213" s="203">
        <f t="shared" si="176"/>
        <v>601</v>
      </c>
      <c r="AJ213" s="204">
        <f t="shared" si="176"/>
        <v>949</v>
      </c>
      <c r="AK213" s="193">
        <v>0</v>
      </c>
      <c r="AL213" s="194">
        <v>0</v>
      </c>
      <c r="AM213" s="195">
        <v>0</v>
      </c>
      <c r="AN213" s="196">
        <v>0</v>
      </c>
      <c r="AO213" s="219">
        <v>0</v>
      </c>
      <c r="AP213" s="220">
        <v>0</v>
      </c>
      <c r="AQ213" s="205">
        <f t="shared" si="172"/>
        <v>0</v>
      </c>
      <c r="AR213" s="206">
        <f t="shared" si="173"/>
        <v>0</v>
      </c>
      <c r="AS213" s="193">
        <v>0</v>
      </c>
      <c r="AT213" s="194">
        <v>0</v>
      </c>
      <c r="AU213" s="195">
        <v>0</v>
      </c>
      <c r="AV213" s="196">
        <v>0</v>
      </c>
      <c r="AW213" s="219">
        <v>0</v>
      </c>
      <c r="AX213" s="220">
        <v>0</v>
      </c>
      <c r="AY213" s="205">
        <f t="shared" si="174"/>
        <v>0</v>
      </c>
      <c r="AZ213" s="206">
        <f t="shared" si="175"/>
        <v>0</v>
      </c>
      <c r="BA213" s="207">
        <f t="shared" si="177"/>
        <v>0</v>
      </c>
      <c r="BB213" s="204">
        <f t="shared" si="177"/>
        <v>0</v>
      </c>
      <c r="BC213" s="208">
        <f t="shared" si="178"/>
        <v>312</v>
      </c>
      <c r="BD213" s="209">
        <f t="shared" si="178"/>
        <v>491</v>
      </c>
      <c r="BE213" s="210">
        <f t="shared" si="179"/>
        <v>289</v>
      </c>
      <c r="BF213" s="211">
        <f t="shared" si="179"/>
        <v>458</v>
      </c>
      <c r="BG213" s="212">
        <f t="shared" si="180"/>
        <v>601</v>
      </c>
      <c r="BH213" s="213">
        <f t="shared" si="180"/>
        <v>949</v>
      </c>
    </row>
    <row r="214" spans="1:60" ht="21" x14ac:dyDescent="0.3">
      <c r="A214" s="214" t="s">
        <v>782</v>
      </c>
      <c r="B214" s="306">
        <v>16</v>
      </c>
      <c r="C214" s="180">
        <v>26</v>
      </c>
      <c r="D214" s="215" t="s">
        <v>72</v>
      </c>
      <c r="E214" s="182" t="s">
        <v>890</v>
      </c>
      <c r="F214" s="183" t="s">
        <v>734</v>
      </c>
      <c r="G214" s="216" t="s">
        <v>891</v>
      </c>
      <c r="H214" s="217" t="s">
        <v>892</v>
      </c>
      <c r="I214" s="217" t="s">
        <v>893</v>
      </c>
      <c r="J214" s="218">
        <v>45869.729166666664</v>
      </c>
      <c r="K214" s="223">
        <f t="shared" si="162"/>
        <v>0.45138888888322981</v>
      </c>
      <c r="L214" s="222">
        <v>0</v>
      </c>
      <c r="M214" s="189">
        <f t="shared" si="163"/>
        <v>0.45138888888322981</v>
      </c>
      <c r="N214" s="189">
        <f t="shared" si="164"/>
        <v>0.52777777777373558</v>
      </c>
      <c r="O214" s="190">
        <f t="shared" si="165"/>
        <v>37.200000000466382</v>
      </c>
      <c r="P214" s="190">
        <f t="shared" si="166"/>
        <v>37.200000000466382</v>
      </c>
      <c r="Q214" s="191">
        <f t="shared" si="167"/>
        <v>31.815789473927882</v>
      </c>
      <c r="R214" s="192" t="s">
        <v>57</v>
      </c>
      <c r="S214" s="193">
        <v>47</v>
      </c>
      <c r="T214" s="194">
        <v>26</v>
      </c>
      <c r="U214" s="195">
        <v>24</v>
      </c>
      <c r="V214" s="196">
        <v>0</v>
      </c>
      <c r="W214" s="219">
        <v>0</v>
      </c>
      <c r="X214" s="220">
        <v>0</v>
      </c>
      <c r="Y214" s="199">
        <f t="shared" si="168"/>
        <v>97</v>
      </c>
      <c r="Z214" s="200">
        <f t="shared" si="169"/>
        <v>121</v>
      </c>
      <c r="AA214" s="193">
        <v>110</v>
      </c>
      <c r="AB214" s="194">
        <v>0</v>
      </c>
      <c r="AC214" s="195">
        <v>72</v>
      </c>
      <c r="AD214" s="201">
        <v>50</v>
      </c>
      <c r="AE214" s="221">
        <v>0</v>
      </c>
      <c r="AF214" s="220">
        <v>0</v>
      </c>
      <c r="AG214" s="199">
        <f t="shared" si="170"/>
        <v>232</v>
      </c>
      <c r="AH214" s="200">
        <f t="shared" si="171"/>
        <v>354</v>
      </c>
      <c r="AI214" s="203">
        <f t="shared" si="176"/>
        <v>329</v>
      </c>
      <c r="AJ214" s="204">
        <f t="shared" si="176"/>
        <v>475</v>
      </c>
      <c r="AK214" s="193">
        <v>0</v>
      </c>
      <c r="AL214" s="194">
        <v>0</v>
      </c>
      <c r="AM214" s="195">
        <v>25</v>
      </c>
      <c r="AN214" s="196">
        <v>12</v>
      </c>
      <c r="AO214" s="219">
        <v>0</v>
      </c>
      <c r="AP214" s="220">
        <v>0</v>
      </c>
      <c r="AQ214" s="205">
        <f t="shared" si="172"/>
        <v>37</v>
      </c>
      <c r="AR214" s="206">
        <f t="shared" si="173"/>
        <v>74</v>
      </c>
      <c r="AS214" s="193">
        <v>0</v>
      </c>
      <c r="AT214" s="194">
        <v>0</v>
      </c>
      <c r="AU214" s="195">
        <v>25</v>
      </c>
      <c r="AV214" s="196">
        <v>12</v>
      </c>
      <c r="AW214" s="219">
        <v>0</v>
      </c>
      <c r="AX214" s="220">
        <v>0</v>
      </c>
      <c r="AY214" s="205">
        <f t="shared" si="174"/>
        <v>37</v>
      </c>
      <c r="AZ214" s="206">
        <f t="shared" si="175"/>
        <v>74</v>
      </c>
      <c r="BA214" s="207">
        <f t="shared" si="177"/>
        <v>74</v>
      </c>
      <c r="BB214" s="204">
        <f t="shared" si="177"/>
        <v>148</v>
      </c>
      <c r="BC214" s="208">
        <f t="shared" si="178"/>
        <v>134</v>
      </c>
      <c r="BD214" s="209">
        <f t="shared" si="178"/>
        <v>195</v>
      </c>
      <c r="BE214" s="210">
        <f t="shared" si="179"/>
        <v>269</v>
      </c>
      <c r="BF214" s="211">
        <f t="shared" si="179"/>
        <v>428</v>
      </c>
      <c r="BG214" s="212">
        <f t="shared" si="180"/>
        <v>403</v>
      </c>
      <c r="BH214" s="213">
        <f t="shared" si="180"/>
        <v>623</v>
      </c>
    </row>
    <row r="215" spans="1:60" ht="21.6" thickBot="1" x14ac:dyDescent="0.35">
      <c r="A215" s="214" t="s">
        <v>782</v>
      </c>
      <c r="B215" s="306">
        <v>17</v>
      </c>
      <c r="C215" s="180">
        <v>27</v>
      </c>
      <c r="D215" s="215" t="s">
        <v>231</v>
      </c>
      <c r="E215" s="182" t="s">
        <v>894</v>
      </c>
      <c r="F215" s="183" t="s">
        <v>760</v>
      </c>
      <c r="G215" s="216" t="s">
        <v>892</v>
      </c>
      <c r="H215" s="217" t="s">
        <v>895</v>
      </c>
      <c r="I215" s="217" t="s">
        <v>896</v>
      </c>
      <c r="J215" s="218">
        <v>45869.708333333336</v>
      </c>
      <c r="K215" s="223">
        <f t="shared" si="162"/>
        <v>0.46319444444088731</v>
      </c>
      <c r="L215" s="222">
        <v>0</v>
      </c>
      <c r="M215" s="189">
        <f t="shared" si="163"/>
        <v>0.46319444444088731</v>
      </c>
      <c r="N215" s="189">
        <f t="shared" si="164"/>
        <v>0.5</v>
      </c>
      <c r="O215" s="190">
        <f t="shared" si="165"/>
        <v>54.872563718562326</v>
      </c>
      <c r="P215" s="190">
        <f t="shared" si="166"/>
        <v>54.872563718562326</v>
      </c>
      <c r="Q215" s="191">
        <f t="shared" si="167"/>
        <v>50.833333333333336</v>
      </c>
      <c r="R215" s="192" t="s">
        <v>57</v>
      </c>
      <c r="S215" s="193">
        <v>162</v>
      </c>
      <c r="T215" s="194">
        <v>0</v>
      </c>
      <c r="U215" s="195">
        <v>118</v>
      </c>
      <c r="V215" s="196">
        <v>5</v>
      </c>
      <c r="W215" s="219">
        <v>0</v>
      </c>
      <c r="X215" s="220">
        <v>0</v>
      </c>
      <c r="Y215" s="199">
        <f t="shared" si="168"/>
        <v>285</v>
      </c>
      <c r="Z215" s="200">
        <f t="shared" si="169"/>
        <v>408</v>
      </c>
      <c r="AA215" s="193">
        <v>120</v>
      </c>
      <c r="AB215" s="194">
        <v>66</v>
      </c>
      <c r="AC215" s="195">
        <v>111</v>
      </c>
      <c r="AD215" s="201">
        <v>0</v>
      </c>
      <c r="AE215" s="221">
        <v>0</v>
      </c>
      <c r="AF215" s="220">
        <v>28</v>
      </c>
      <c r="AG215" s="199">
        <f t="shared" si="170"/>
        <v>325</v>
      </c>
      <c r="AH215" s="200">
        <f t="shared" si="171"/>
        <v>464</v>
      </c>
      <c r="AI215" s="203">
        <f t="shared" si="176"/>
        <v>610</v>
      </c>
      <c r="AJ215" s="204">
        <f t="shared" si="176"/>
        <v>872</v>
      </c>
      <c r="AK215" s="193">
        <v>0</v>
      </c>
      <c r="AL215" s="194">
        <v>0</v>
      </c>
      <c r="AM215" s="195">
        <v>0</v>
      </c>
      <c r="AN215" s="196">
        <v>0</v>
      </c>
      <c r="AO215" s="219">
        <v>0</v>
      </c>
      <c r="AP215" s="220">
        <v>0</v>
      </c>
      <c r="AQ215" s="205">
        <f t="shared" si="172"/>
        <v>0</v>
      </c>
      <c r="AR215" s="206">
        <f t="shared" si="173"/>
        <v>0</v>
      </c>
      <c r="AS215" s="193">
        <v>0</v>
      </c>
      <c r="AT215" s="194">
        <v>0</v>
      </c>
      <c r="AU215" s="195">
        <v>0</v>
      </c>
      <c r="AV215" s="196">
        <v>0</v>
      </c>
      <c r="AW215" s="219">
        <v>0</v>
      </c>
      <c r="AX215" s="220">
        <v>0</v>
      </c>
      <c r="AY215" s="205">
        <f t="shared" si="174"/>
        <v>0</v>
      </c>
      <c r="AZ215" s="206">
        <f t="shared" si="175"/>
        <v>0</v>
      </c>
      <c r="BA215" s="207">
        <f t="shared" si="177"/>
        <v>0</v>
      </c>
      <c r="BB215" s="204">
        <f t="shared" si="177"/>
        <v>0</v>
      </c>
      <c r="BC215" s="208">
        <f t="shared" si="178"/>
        <v>285</v>
      </c>
      <c r="BD215" s="209">
        <f t="shared" si="178"/>
        <v>408</v>
      </c>
      <c r="BE215" s="210">
        <f t="shared" si="179"/>
        <v>325</v>
      </c>
      <c r="BF215" s="211">
        <f t="shared" si="179"/>
        <v>464</v>
      </c>
      <c r="BG215" s="212">
        <f t="shared" si="180"/>
        <v>610</v>
      </c>
      <c r="BH215" s="213">
        <f t="shared" si="180"/>
        <v>872</v>
      </c>
    </row>
    <row r="216" spans="1:60" ht="21.6" hidden="1" thickBot="1" x14ac:dyDescent="0.35">
      <c r="A216" s="214" t="s">
        <v>782</v>
      </c>
      <c r="B216" s="228"/>
      <c r="C216" s="180"/>
      <c r="D216" s="215">
        <v>0</v>
      </c>
      <c r="E216" s="182">
        <v>0</v>
      </c>
      <c r="F216" s="183">
        <v>0</v>
      </c>
      <c r="G216" s="216">
        <v>0</v>
      </c>
      <c r="H216" s="217">
        <v>0</v>
      </c>
      <c r="I216" s="217">
        <v>0</v>
      </c>
      <c r="J216" s="218">
        <v>0</v>
      </c>
      <c r="K216" s="223">
        <v>0</v>
      </c>
      <c r="L216" s="222">
        <v>0</v>
      </c>
      <c r="M216" s="229">
        <v>0</v>
      </c>
      <c r="N216" s="229">
        <v>0</v>
      </c>
      <c r="O216" s="230">
        <v>0</v>
      </c>
      <c r="P216" s="230">
        <v>0</v>
      </c>
      <c r="Q216" s="231">
        <v>0</v>
      </c>
      <c r="R216" s="192">
        <v>0</v>
      </c>
      <c r="S216" s="193">
        <v>0</v>
      </c>
      <c r="T216" s="194">
        <v>0</v>
      </c>
      <c r="U216" s="195">
        <v>0</v>
      </c>
      <c r="V216" s="196">
        <v>0</v>
      </c>
      <c r="W216" s="219">
        <v>0</v>
      </c>
      <c r="X216" s="220">
        <v>0</v>
      </c>
      <c r="Y216" s="199">
        <f t="shared" si="168"/>
        <v>0</v>
      </c>
      <c r="Z216" s="200">
        <f t="shared" si="169"/>
        <v>0</v>
      </c>
      <c r="AA216" s="193">
        <v>0</v>
      </c>
      <c r="AB216" s="194">
        <v>0</v>
      </c>
      <c r="AC216" s="195">
        <v>0</v>
      </c>
      <c r="AD216" s="201">
        <v>0</v>
      </c>
      <c r="AE216" s="221">
        <v>0</v>
      </c>
      <c r="AF216" s="220">
        <v>0</v>
      </c>
      <c r="AG216" s="199">
        <f t="shared" si="170"/>
        <v>0</v>
      </c>
      <c r="AH216" s="200">
        <f t="shared" si="171"/>
        <v>0</v>
      </c>
      <c r="AI216" s="203">
        <f t="shared" si="176"/>
        <v>0</v>
      </c>
      <c r="AJ216" s="204">
        <f t="shared" si="176"/>
        <v>0</v>
      </c>
      <c r="AK216" s="193">
        <v>0</v>
      </c>
      <c r="AL216" s="194">
        <v>0</v>
      </c>
      <c r="AM216" s="195">
        <v>0</v>
      </c>
      <c r="AN216" s="196">
        <v>0</v>
      </c>
      <c r="AO216" s="219">
        <v>0</v>
      </c>
      <c r="AP216" s="220">
        <v>0</v>
      </c>
      <c r="AQ216" s="205">
        <f t="shared" si="172"/>
        <v>0</v>
      </c>
      <c r="AR216" s="206">
        <f t="shared" si="173"/>
        <v>0</v>
      </c>
      <c r="AS216" s="193">
        <v>0</v>
      </c>
      <c r="AT216" s="194">
        <v>0</v>
      </c>
      <c r="AU216" s="195">
        <v>0</v>
      </c>
      <c r="AV216" s="196">
        <v>0</v>
      </c>
      <c r="AW216" s="219">
        <v>0</v>
      </c>
      <c r="AX216" s="220">
        <v>0</v>
      </c>
      <c r="AY216" s="205">
        <f t="shared" si="174"/>
        <v>0</v>
      </c>
      <c r="AZ216" s="206">
        <f t="shared" si="175"/>
        <v>0</v>
      </c>
      <c r="BA216" s="207">
        <f t="shared" si="177"/>
        <v>0</v>
      </c>
      <c r="BB216" s="204">
        <f t="shared" si="177"/>
        <v>0</v>
      </c>
      <c r="BC216" s="208">
        <f t="shared" si="178"/>
        <v>0</v>
      </c>
      <c r="BD216" s="209">
        <f t="shared" si="178"/>
        <v>0</v>
      </c>
      <c r="BE216" s="210">
        <f t="shared" si="179"/>
        <v>0</v>
      </c>
      <c r="BF216" s="211">
        <f t="shared" si="179"/>
        <v>0</v>
      </c>
      <c r="BG216" s="212">
        <f t="shared" si="180"/>
        <v>0</v>
      </c>
      <c r="BH216" s="213">
        <f t="shared" si="180"/>
        <v>0</v>
      </c>
    </row>
    <row r="217" spans="1:60" ht="21.6" hidden="1" thickBot="1" x14ac:dyDescent="0.35">
      <c r="A217" s="235" t="s">
        <v>782</v>
      </c>
      <c r="B217" s="228"/>
      <c r="C217" s="180"/>
      <c r="D217" s="215">
        <v>0</v>
      </c>
      <c r="E217" s="182">
        <v>0</v>
      </c>
      <c r="F217" s="183">
        <v>0</v>
      </c>
      <c r="G217" s="216">
        <v>0</v>
      </c>
      <c r="H217" s="217">
        <v>0</v>
      </c>
      <c r="I217" s="217">
        <v>0</v>
      </c>
      <c r="J217" s="218">
        <v>0</v>
      </c>
      <c r="K217" s="223">
        <v>0</v>
      </c>
      <c r="L217" s="222">
        <v>0</v>
      </c>
      <c r="M217" s="229">
        <v>0</v>
      </c>
      <c r="N217" s="229">
        <v>0</v>
      </c>
      <c r="O217" s="230">
        <v>0</v>
      </c>
      <c r="P217" s="230">
        <v>0</v>
      </c>
      <c r="Q217" s="231">
        <v>0</v>
      </c>
      <c r="R217" s="192">
        <v>0</v>
      </c>
      <c r="S217" s="193">
        <v>0</v>
      </c>
      <c r="T217" s="194">
        <v>0</v>
      </c>
      <c r="U217" s="195">
        <v>0</v>
      </c>
      <c r="V217" s="196">
        <v>0</v>
      </c>
      <c r="W217" s="219">
        <v>0</v>
      </c>
      <c r="X217" s="220">
        <v>0</v>
      </c>
      <c r="Y217" s="199">
        <f t="shared" si="168"/>
        <v>0</v>
      </c>
      <c r="Z217" s="200">
        <f t="shared" si="169"/>
        <v>0</v>
      </c>
      <c r="AA217" s="193">
        <v>0</v>
      </c>
      <c r="AB217" s="194">
        <v>0</v>
      </c>
      <c r="AC217" s="195">
        <v>0</v>
      </c>
      <c r="AD217" s="201">
        <v>0</v>
      </c>
      <c r="AE217" s="221">
        <v>0</v>
      </c>
      <c r="AF217" s="220">
        <v>0</v>
      </c>
      <c r="AG217" s="199">
        <f t="shared" si="170"/>
        <v>0</v>
      </c>
      <c r="AH217" s="200">
        <f t="shared" si="171"/>
        <v>0</v>
      </c>
      <c r="AI217" s="203">
        <f t="shared" si="176"/>
        <v>0</v>
      </c>
      <c r="AJ217" s="204">
        <f t="shared" si="176"/>
        <v>0</v>
      </c>
      <c r="AK217" s="193">
        <v>0</v>
      </c>
      <c r="AL217" s="194">
        <v>0</v>
      </c>
      <c r="AM217" s="195">
        <v>0</v>
      </c>
      <c r="AN217" s="196">
        <v>0</v>
      </c>
      <c r="AO217" s="219">
        <v>0</v>
      </c>
      <c r="AP217" s="220">
        <v>0</v>
      </c>
      <c r="AQ217" s="205">
        <f t="shared" si="172"/>
        <v>0</v>
      </c>
      <c r="AR217" s="206">
        <f t="shared" si="173"/>
        <v>0</v>
      </c>
      <c r="AS217" s="193">
        <v>0</v>
      </c>
      <c r="AT217" s="194">
        <v>0</v>
      </c>
      <c r="AU217" s="195">
        <v>0</v>
      </c>
      <c r="AV217" s="196">
        <v>0</v>
      </c>
      <c r="AW217" s="219">
        <v>0</v>
      </c>
      <c r="AX217" s="220">
        <v>0</v>
      </c>
      <c r="AY217" s="205">
        <f t="shared" si="174"/>
        <v>0</v>
      </c>
      <c r="AZ217" s="206">
        <f t="shared" si="175"/>
        <v>0</v>
      </c>
      <c r="BA217" s="207">
        <f t="shared" si="177"/>
        <v>0</v>
      </c>
      <c r="BB217" s="204">
        <f t="shared" si="177"/>
        <v>0</v>
      </c>
      <c r="BC217" s="208">
        <f t="shared" si="178"/>
        <v>0</v>
      </c>
      <c r="BD217" s="209">
        <f t="shared" si="178"/>
        <v>0</v>
      </c>
      <c r="BE217" s="210">
        <f t="shared" si="179"/>
        <v>0</v>
      </c>
      <c r="BF217" s="211">
        <f t="shared" si="179"/>
        <v>0</v>
      </c>
      <c r="BG217" s="212">
        <f t="shared" si="180"/>
        <v>0</v>
      </c>
      <c r="BH217" s="213">
        <f t="shared" si="180"/>
        <v>0</v>
      </c>
    </row>
    <row r="218" spans="1:60" s="153" customFormat="1" ht="23.4" thickBot="1" x14ac:dyDescent="0.35">
      <c r="A218" s="317" t="s">
        <v>897</v>
      </c>
      <c r="B218" s="317" t="s">
        <v>897</v>
      </c>
      <c r="C218" s="324" t="s">
        <v>2</v>
      </c>
      <c r="D218" s="252" t="s">
        <v>898</v>
      </c>
      <c r="E218" s="318" t="s">
        <v>534</v>
      </c>
      <c r="F218" s="159" t="s">
        <v>5</v>
      </c>
      <c r="G218" s="160" t="s">
        <v>6</v>
      </c>
      <c r="H218" s="161" t="s">
        <v>7</v>
      </c>
      <c r="I218" s="161" t="s">
        <v>8</v>
      </c>
      <c r="J218" s="162" t="s">
        <v>9</v>
      </c>
      <c r="K218" s="163" t="s">
        <v>38</v>
      </c>
      <c r="L218" s="164" t="s">
        <v>38</v>
      </c>
      <c r="M218" s="165" t="s">
        <v>38</v>
      </c>
      <c r="N218" s="166" t="s">
        <v>38</v>
      </c>
      <c r="O218" s="165" t="s">
        <v>39</v>
      </c>
      <c r="P218" s="165" t="s">
        <v>39</v>
      </c>
      <c r="Q218" s="254" t="s">
        <v>39</v>
      </c>
      <c r="R218" s="319" t="s">
        <v>17</v>
      </c>
      <c r="S218" s="169">
        <f t="shared" ref="S218:X218" si="181">SUM(S219:S247)</f>
        <v>2772</v>
      </c>
      <c r="T218" s="170">
        <f t="shared" si="181"/>
        <v>53</v>
      </c>
      <c r="U218" s="171">
        <f t="shared" si="181"/>
        <v>2715</v>
      </c>
      <c r="V218" s="172">
        <f t="shared" si="181"/>
        <v>390</v>
      </c>
      <c r="W218" s="173">
        <f t="shared" si="181"/>
        <v>0</v>
      </c>
      <c r="X218" s="174">
        <f t="shared" si="181"/>
        <v>17</v>
      </c>
      <c r="Y218" s="169">
        <f>SUM(S218:X218)</f>
        <v>5947</v>
      </c>
      <c r="Z218" s="175">
        <f>Y218+SUM(U218:V218)+X218</f>
        <v>9069</v>
      </c>
      <c r="AA218" s="169">
        <f t="shared" ref="AA218:AF218" si="182">SUM(AA219:AA247)</f>
        <v>2149</v>
      </c>
      <c r="AB218" s="170">
        <f t="shared" si="182"/>
        <v>671</v>
      </c>
      <c r="AC218" s="171">
        <f t="shared" si="182"/>
        <v>2498</v>
      </c>
      <c r="AD218" s="320">
        <f t="shared" si="182"/>
        <v>580</v>
      </c>
      <c r="AE218" s="321">
        <f t="shared" si="182"/>
        <v>0</v>
      </c>
      <c r="AF218" s="174">
        <f t="shared" si="182"/>
        <v>222</v>
      </c>
      <c r="AG218" s="169">
        <f>SUM(AA218:AF218)</f>
        <v>6120</v>
      </c>
      <c r="AH218" s="175">
        <f>AG218+SUM(AC218:AD218)+AF218</f>
        <v>9420</v>
      </c>
      <c r="AI218" s="169">
        <f>Y218+AG218</f>
        <v>12067</v>
      </c>
      <c r="AJ218" s="175">
        <f>Z218+AH218</f>
        <v>18489</v>
      </c>
      <c r="AK218" s="169">
        <f t="shared" ref="AK218:AP218" si="183">SUM(AK219:AK247)</f>
        <v>0</v>
      </c>
      <c r="AL218" s="170">
        <f t="shared" si="183"/>
        <v>0</v>
      </c>
      <c r="AM218" s="171">
        <f t="shared" si="183"/>
        <v>165</v>
      </c>
      <c r="AN218" s="172">
        <f t="shared" si="183"/>
        <v>30</v>
      </c>
      <c r="AO218" s="173">
        <f t="shared" si="183"/>
        <v>0</v>
      </c>
      <c r="AP218" s="174">
        <f t="shared" si="183"/>
        <v>0</v>
      </c>
      <c r="AQ218" s="169">
        <f>SUM(AK218:AP218)</f>
        <v>195</v>
      </c>
      <c r="AR218" s="170">
        <f>AQ218+SUM(AM218:AN218)+AP218</f>
        <v>390</v>
      </c>
      <c r="AS218" s="169">
        <f t="shared" ref="AS218:AX218" si="184">SUM(AS219:AS247)</f>
        <v>0</v>
      </c>
      <c r="AT218" s="170">
        <f t="shared" si="184"/>
        <v>0</v>
      </c>
      <c r="AU218" s="171">
        <f t="shared" si="184"/>
        <v>165</v>
      </c>
      <c r="AV218" s="320">
        <f t="shared" si="184"/>
        <v>30</v>
      </c>
      <c r="AW218" s="321">
        <f t="shared" si="184"/>
        <v>0</v>
      </c>
      <c r="AX218" s="174">
        <f t="shared" si="184"/>
        <v>0</v>
      </c>
      <c r="AY218" s="169">
        <f>SUM(AS218:AX218)</f>
        <v>195</v>
      </c>
      <c r="AZ218" s="170">
        <f t="shared" si="175"/>
        <v>390</v>
      </c>
      <c r="BA218" s="169">
        <f>AQ218+AY218</f>
        <v>390</v>
      </c>
      <c r="BB218" s="170">
        <f>AR218+AZ218</f>
        <v>780</v>
      </c>
      <c r="BC218" s="169">
        <f>Y218+AQ218</f>
        <v>6142</v>
      </c>
      <c r="BD218" s="170">
        <f>Z218+AR218</f>
        <v>9459</v>
      </c>
      <c r="BE218" s="169">
        <f>AG218+AY218</f>
        <v>6315</v>
      </c>
      <c r="BF218" s="176">
        <f>AH218+AZ218</f>
        <v>9810</v>
      </c>
      <c r="BG218" s="169">
        <f>BC218+BE218</f>
        <v>12457</v>
      </c>
      <c r="BH218" s="170">
        <f>BD218+BF218</f>
        <v>19269</v>
      </c>
    </row>
    <row r="219" spans="1:60" ht="21" x14ac:dyDescent="0.3">
      <c r="A219" s="178" t="s">
        <v>897</v>
      </c>
      <c r="B219" s="306">
        <v>1</v>
      </c>
      <c r="C219" s="180">
        <v>1</v>
      </c>
      <c r="D219" s="215" t="s">
        <v>65</v>
      </c>
      <c r="E219" s="182" t="s">
        <v>899</v>
      </c>
      <c r="F219" s="183" t="s">
        <v>900</v>
      </c>
      <c r="G219" s="216" t="s">
        <v>901</v>
      </c>
      <c r="H219" s="217" t="s">
        <v>902</v>
      </c>
      <c r="I219" s="217" t="s">
        <v>903</v>
      </c>
      <c r="J219" s="218">
        <v>45872.75</v>
      </c>
      <c r="K219" s="223">
        <f t="shared" ref="K219:K244" si="185">I219-H219</f>
        <v>0.42361111111677019</v>
      </c>
      <c r="L219" s="222">
        <v>0</v>
      </c>
      <c r="M219" s="189">
        <f t="shared" ref="M219:M244" si="186">K219-L219</f>
        <v>0.42361111111677019</v>
      </c>
      <c r="N219" s="189">
        <f t="shared" ref="N219:N244" si="187">J219-G219</f>
        <v>0.54513888889050577</v>
      </c>
      <c r="O219" s="190">
        <f t="shared" ref="O219:O244" si="188">BG219/M219/24</f>
        <v>60.098360654934844</v>
      </c>
      <c r="P219" s="190">
        <f t="shared" ref="P219:P244" si="189">BG219/K219/24</f>
        <v>60.098360654934844</v>
      </c>
      <c r="Q219" s="191">
        <f t="shared" ref="Q219:Q244" si="190">BG219/N219/24</f>
        <v>46.700636942536647</v>
      </c>
      <c r="R219" s="192" t="s">
        <v>71</v>
      </c>
      <c r="S219" s="193">
        <v>129</v>
      </c>
      <c r="T219" s="194">
        <v>2</v>
      </c>
      <c r="U219" s="195">
        <v>149</v>
      </c>
      <c r="V219" s="196">
        <v>24</v>
      </c>
      <c r="W219" s="219">
        <v>0</v>
      </c>
      <c r="X219" s="220">
        <v>2</v>
      </c>
      <c r="Y219" s="199">
        <f t="shared" ref="Y219" si="191">SUM(S219:X219)</f>
        <v>306</v>
      </c>
      <c r="Z219" s="200">
        <f t="shared" ref="Z219:Z247" si="192">Y219+SUM(U219:V219)+X219</f>
        <v>481</v>
      </c>
      <c r="AA219" s="193">
        <v>88</v>
      </c>
      <c r="AB219" s="194">
        <v>38</v>
      </c>
      <c r="AC219" s="195">
        <v>134</v>
      </c>
      <c r="AD219" s="201">
        <v>41</v>
      </c>
      <c r="AE219" s="221">
        <v>0</v>
      </c>
      <c r="AF219" s="220">
        <v>4</v>
      </c>
      <c r="AG219" s="199">
        <f t="shared" ref="AG219:AG247" si="193">SUM(AA219:AF219)</f>
        <v>305</v>
      </c>
      <c r="AH219" s="200">
        <f t="shared" ref="AH219:AH247" si="194">AG219+SUM(AC219:AD219)+AF219</f>
        <v>484</v>
      </c>
      <c r="AI219" s="203">
        <f t="shared" ref="AI219:AJ234" si="195">Y219+AG219</f>
        <v>611</v>
      </c>
      <c r="AJ219" s="204">
        <f t="shared" si="195"/>
        <v>965</v>
      </c>
      <c r="AK219" s="193">
        <v>0</v>
      </c>
      <c r="AL219" s="194">
        <v>0</v>
      </c>
      <c r="AM219" s="195">
        <v>0</v>
      </c>
      <c r="AN219" s="196">
        <v>0</v>
      </c>
      <c r="AO219" s="219">
        <v>0</v>
      </c>
      <c r="AP219" s="220">
        <v>0</v>
      </c>
      <c r="AQ219" s="205">
        <f t="shared" ref="AQ219:AQ247" si="196">SUM(AK219:AP219)</f>
        <v>0</v>
      </c>
      <c r="AR219" s="206">
        <f t="shared" ref="AR219:AR247" si="197">AQ219+SUM(AM219:AN219)+AP219</f>
        <v>0</v>
      </c>
      <c r="AS219" s="193">
        <v>0</v>
      </c>
      <c r="AT219" s="194">
        <v>0</v>
      </c>
      <c r="AU219" s="195">
        <v>0</v>
      </c>
      <c r="AV219" s="196">
        <v>0</v>
      </c>
      <c r="AW219" s="219">
        <v>0</v>
      </c>
      <c r="AX219" s="220">
        <v>0</v>
      </c>
      <c r="AY219" s="205">
        <f t="shared" ref="AY219:AY247" si="198">SUM(AS219:AX219)</f>
        <v>0</v>
      </c>
      <c r="AZ219" s="206">
        <f t="shared" si="175"/>
        <v>0</v>
      </c>
      <c r="BA219" s="207">
        <f t="shared" ref="BA219:BB234" si="199">AQ219+AY219</f>
        <v>0</v>
      </c>
      <c r="BB219" s="204">
        <f t="shared" si="199"/>
        <v>0</v>
      </c>
      <c r="BC219" s="208">
        <f t="shared" ref="BC219:BD234" si="200">Y219+AQ219</f>
        <v>306</v>
      </c>
      <c r="BD219" s="209">
        <f t="shared" si="200"/>
        <v>481</v>
      </c>
      <c r="BE219" s="210">
        <f t="shared" ref="BE219:BF234" si="201">AG219+AY219</f>
        <v>305</v>
      </c>
      <c r="BF219" s="211">
        <f t="shared" si="201"/>
        <v>484</v>
      </c>
      <c r="BG219" s="212">
        <f t="shared" ref="BG219:BH234" si="202">BC219+BE219</f>
        <v>611</v>
      </c>
      <c r="BH219" s="213">
        <f t="shared" si="202"/>
        <v>965</v>
      </c>
    </row>
    <row r="220" spans="1:60" ht="21" x14ac:dyDescent="0.3">
      <c r="A220" s="214" t="s">
        <v>897</v>
      </c>
      <c r="B220" s="306">
        <v>1</v>
      </c>
      <c r="C220" s="180">
        <v>2</v>
      </c>
      <c r="D220" s="215" t="s">
        <v>51</v>
      </c>
      <c r="E220" s="182" t="s">
        <v>904</v>
      </c>
      <c r="F220" s="183" t="s">
        <v>870</v>
      </c>
      <c r="G220" s="216">
        <v>45874.284722222219</v>
      </c>
      <c r="H220" s="217" t="s">
        <v>905</v>
      </c>
      <c r="I220" s="217" t="s">
        <v>906</v>
      </c>
      <c r="J220" s="218">
        <v>45874.875</v>
      </c>
      <c r="K220" s="223">
        <f t="shared" si="185"/>
        <v>0.54930555555620231</v>
      </c>
      <c r="L220" s="222">
        <v>0</v>
      </c>
      <c r="M220" s="189">
        <f t="shared" si="186"/>
        <v>0.54930555555620231</v>
      </c>
      <c r="N220" s="189">
        <f t="shared" si="187"/>
        <v>0.59027777778101154</v>
      </c>
      <c r="O220" s="190">
        <f t="shared" si="188"/>
        <v>49.608091023961812</v>
      </c>
      <c r="P220" s="190">
        <f t="shared" si="189"/>
        <v>49.608091023961812</v>
      </c>
      <c r="Q220" s="191">
        <f t="shared" si="190"/>
        <v>46.164705882100037</v>
      </c>
      <c r="R220" s="192" t="s">
        <v>57</v>
      </c>
      <c r="S220" s="193">
        <v>164</v>
      </c>
      <c r="T220" s="194">
        <v>0</v>
      </c>
      <c r="U220" s="195">
        <v>116</v>
      </c>
      <c r="V220" s="196">
        <v>33</v>
      </c>
      <c r="W220" s="219">
        <v>0</v>
      </c>
      <c r="X220" s="220">
        <v>1</v>
      </c>
      <c r="Y220" s="199">
        <f t="shared" ref="Y220:Y247" si="203">SUM(S220:X220)</f>
        <v>314</v>
      </c>
      <c r="Z220" s="200">
        <f t="shared" si="192"/>
        <v>464</v>
      </c>
      <c r="AA220" s="193">
        <v>136</v>
      </c>
      <c r="AB220" s="194">
        <v>50</v>
      </c>
      <c r="AC220" s="195">
        <v>117</v>
      </c>
      <c r="AD220" s="201">
        <v>23</v>
      </c>
      <c r="AE220" s="221">
        <v>0</v>
      </c>
      <c r="AF220" s="220">
        <v>14</v>
      </c>
      <c r="AG220" s="199">
        <f t="shared" si="193"/>
        <v>340</v>
      </c>
      <c r="AH220" s="200">
        <f t="shared" si="194"/>
        <v>494</v>
      </c>
      <c r="AI220" s="203">
        <f t="shared" si="195"/>
        <v>654</v>
      </c>
      <c r="AJ220" s="204">
        <f t="shared" si="195"/>
        <v>958</v>
      </c>
      <c r="AK220" s="193">
        <v>0</v>
      </c>
      <c r="AL220" s="194">
        <v>0</v>
      </c>
      <c r="AM220" s="195">
        <v>0</v>
      </c>
      <c r="AN220" s="196">
        <v>0</v>
      </c>
      <c r="AO220" s="219">
        <v>0</v>
      </c>
      <c r="AP220" s="220">
        <v>0</v>
      </c>
      <c r="AQ220" s="205">
        <f t="shared" si="196"/>
        <v>0</v>
      </c>
      <c r="AR220" s="206">
        <f t="shared" si="197"/>
        <v>0</v>
      </c>
      <c r="AS220" s="193">
        <v>0</v>
      </c>
      <c r="AT220" s="194">
        <v>0</v>
      </c>
      <c r="AU220" s="195">
        <v>0</v>
      </c>
      <c r="AV220" s="196">
        <v>0</v>
      </c>
      <c r="AW220" s="219">
        <v>0</v>
      </c>
      <c r="AX220" s="220">
        <v>0</v>
      </c>
      <c r="AY220" s="205">
        <f t="shared" si="198"/>
        <v>0</v>
      </c>
      <c r="AZ220" s="206">
        <f t="shared" si="175"/>
        <v>0</v>
      </c>
      <c r="BA220" s="207">
        <f t="shared" si="199"/>
        <v>0</v>
      </c>
      <c r="BB220" s="204">
        <f t="shared" si="199"/>
        <v>0</v>
      </c>
      <c r="BC220" s="208">
        <f t="shared" si="200"/>
        <v>314</v>
      </c>
      <c r="BD220" s="209">
        <f t="shared" si="200"/>
        <v>464</v>
      </c>
      <c r="BE220" s="210">
        <f t="shared" si="201"/>
        <v>340</v>
      </c>
      <c r="BF220" s="211">
        <f t="shared" si="201"/>
        <v>494</v>
      </c>
      <c r="BG220" s="212">
        <f t="shared" si="202"/>
        <v>654</v>
      </c>
      <c r="BH220" s="213">
        <f t="shared" si="202"/>
        <v>958</v>
      </c>
    </row>
    <row r="221" spans="1:60" ht="21" x14ac:dyDescent="0.3">
      <c r="A221" s="214" t="s">
        <v>897</v>
      </c>
      <c r="B221" s="306">
        <v>2</v>
      </c>
      <c r="C221" s="180">
        <v>3</v>
      </c>
      <c r="D221" s="215" t="s">
        <v>79</v>
      </c>
      <c r="E221" s="182" t="s">
        <v>907</v>
      </c>
      <c r="F221" s="183" t="s">
        <v>900</v>
      </c>
      <c r="G221" s="216" t="s">
        <v>908</v>
      </c>
      <c r="H221" s="217" t="s">
        <v>909</v>
      </c>
      <c r="I221" s="217" t="s">
        <v>910</v>
      </c>
      <c r="J221" s="218">
        <v>45875.625</v>
      </c>
      <c r="K221" s="223">
        <f t="shared" si="185"/>
        <v>0.47986111111094942</v>
      </c>
      <c r="L221" s="222">
        <v>0</v>
      </c>
      <c r="M221" s="189">
        <f t="shared" si="186"/>
        <v>0.47986111111094942</v>
      </c>
      <c r="N221" s="189">
        <f t="shared" si="187"/>
        <v>0.5</v>
      </c>
      <c r="O221" s="190">
        <f t="shared" si="188"/>
        <v>51.230101302477465</v>
      </c>
      <c r="P221" s="190">
        <f t="shared" si="189"/>
        <v>51.230101302477465</v>
      </c>
      <c r="Q221" s="191">
        <f t="shared" si="190"/>
        <v>49.166666666666664</v>
      </c>
      <c r="R221" s="192" t="s">
        <v>71</v>
      </c>
      <c r="S221" s="193">
        <v>128</v>
      </c>
      <c r="T221" s="194">
        <v>2</v>
      </c>
      <c r="U221" s="195">
        <v>143</v>
      </c>
      <c r="V221" s="196">
        <v>26</v>
      </c>
      <c r="W221" s="219">
        <v>0</v>
      </c>
      <c r="X221" s="220">
        <v>2</v>
      </c>
      <c r="Y221" s="199">
        <f t="shared" si="203"/>
        <v>301</v>
      </c>
      <c r="Z221" s="200">
        <f t="shared" si="192"/>
        <v>472</v>
      </c>
      <c r="AA221" s="193">
        <v>81</v>
      </c>
      <c r="AB221" s="194">
        <v>31</v>
      </c>
      <c r="AC221" s="195">
        <v>124</v>
      </c>
      <c r="AD221" s="201">
        <v>48</v>
      </c>
      <c r="AE221" s="221">
        <v>0</v>
      </c>
      <c r="AF221" s="220">
        <v>5</v>
      </c>
      <c r="AG221" s="199">
        <f t="shared" si="193"/>
        <v>289</v>
      </c>
      <c r="AH221" s="200">
        <f t="shared" si="194"/>
        <v>466</v>
      </c>
      <c r="AI221" s="203">
        <f t="shared" si="195"/>
        <v>590</v>
      </c>
      <c r="AJ221" s="204">
        <f t="shared" si="195"/>
        <v>938</v>
      </c>
      <c r="AK221" s="193">
        <v>0</v>
      </c>
      <c r="AL221" s="194">
        <v>0</v>
      </c>
      <c r="AM221" s="195">
        <v>0</v>
      </c>
      <c r="AN221" s="196">
        <v>0</v>
      </c>
      <c r="AO221" s="219">
        <v>0</v>
      </c>
      <c r="AP221" s="220">
        <v>0</v>
      </c>
      <c r="AQ221" s="205">
        <f t="shared" si="196"/>
        <v>0</v>
      </c>
      <c r="AR221" s="206">
        <f t="shared" si="197"/>
        <v>0</v>
      </c>
      <c r="AS221" s="193">
        <v>0</v>
      </c>
      <c r="AT221" s="194">
        <v>0</v>
      </c>
      <c r="AU221" s="195">
        <v>0</v>
      </c>
      <c r="AV221" s="196">
        <v>0</v>
      </c>
      <c r="AW221" s="219">
        <v>0</v>
      </c>
      <c r="AX221" s="220">
        <v>0</v>
      </c>
      <c r="AY221" s="205">
        <f t="shared" si="198"/>
        <v>0</v>
      </c>
      <c r="AZ221" s="206">
        <f t="shared" si="175"/>
        <v>0</v>
      </c>
      <c r="BA221" s="207">
        <f t="shared" si="199"/>
        <v>0</v>
      </c>
      <c r="BB221" s="204">
        <f t="shared" si="199"/>
        <v>0</v>
      </c>
      <c r="BC221" s="208">
        <f t="shared" si="200"/>
        <v>301</v>
      </c>
      <c r="BD221" s="209">
        <f t="shared" si="200"/>
        <v>472</v>
      </c>
      <c r="BE221" s="210">
        <f t="shared" si="201"/>
        <v>289</v>
      </c>
      <c r="BF221" s="211">
        <f t="shared" si="201"/>
        <v>466</v>
      </c>
      <c r="BG221" s="212">
        <f t="shared" si="202"/>
        <v>590</v>
      </c>
      <c r="BH221" s="213">
        <f t="shared" si="202"/>
        <v>938</v>
      </c>
    </row>
    <row r="222" spans="1:60" ht="21" x14ac:dyDescent="0.3">
      <c r="A222" s="214" t="s">
        <v>897</v>
      </c>
      <c r="B222" s="306">
        <v>2</v>
      </c>
      <c r="C222" s="180">
        <v>4</v>
      </c>
      <c r="D222" s="215" t="s">
        <v>58</v>
      </c>
      <c r="E222" s="182" t="s">
        <v>911</v>
      </c>
      <c r="F222" s="183" t="s">
        <v>819</v>
      </c>
      <c r="G222" s="216" t="s">
        <v>912</v>
      </c>
      <c r="H222" s="217" t="s">
        <v>913</v>
      </c>
      <c r="I222" s="217" t="s">
        <v>914</v>
      </c>
      <c r="J222" s="218">
        <v>45875.895833333336</v>
      </c>
      <c r="K222" s="223">
        <f t="shared" si="185"/>
        <v>0.70902777778246673</v>
      </c>
      <c r="L222" s="222">
        <v>0</v>
      </c>
      <c r="M222" s="189">
        <f t="shared" si="186"/>
        <v>0.70902777778246673</v>
      </c>
      <c r="N222" s="189">
        <f t="shared" si="187"/>
        <v>0.78472222222626442</v>
      </c>
      <c r="O222" s="190">
        <f t="shared" si="188"/>
        <v>36.787463271059359</v>
      </c>
      <c r="P222" s="190">
        <f t="shared" si="189"/>
        <v>36.787463271059359</v>
      </c>
      <c r="Q222" s="191">
        <f t="shared" si="190"/>
        <v>33.238938052926123</v>
      </c>
      <c r="R222" s="192" t="s">
        <v>57</v>
      </c>
      <c r="S222" s="193">
        <v>186</v>
      </c>
      <c r="T222" s="194">
        <v>3</v>
      </c>
      <c r="U222" s="195">
        <v>234</v>
      </c>
      <c r="V222" s="196">
        <v>1</v>
      </c>
      <c r="W222" s="219">
        <v>0</v>
      </c>
      <c r="X222" s="220">
        <v>1</v>
      </c>
      <c r="Y222" s="199">
        <f t="shared" si="203"/>
        <v>425</v>
      </c>
      <c r="Z222" s="200">
        <f t="shared" si="192"/>
        <v>661</v>
      </c>
      <c r="AA222" s="193">
        <v>104</v>
      </c>
      <c r="AB222" s="194">
        <v>12</v>
      </c>
      <c r="AC222" s="195">
        <v>37</v>
      </c>
      <c r="AD222" s="201">
        <v>45</v>
      </c>
      <c r="AE222" s="221">
        <v>0</v>
      </c>
      <c r="AF222" s="220">
        <v>3</v>
      </c>
      <c r="AG222" s="199">
        <f t="shared" si="193"/>
        <v>201</v>
      </c>
      <c r="AH222" s="200">
        <f t="shared" si="194"/>
        <v>286</v>
      </c>
      <c r="AI222" s="203">
        <f t="shared" si="195"/>
        <v>626</v>
      </c>
      <c r="AJ222" s="204">
        <f t="shared" si="195"/>
        <v>947</v>
      </c>
      <c r="AK222" s="193">
        <v>0</v>
      </c>
      <c r="AL222" s="194">
        <v>0</v>
      </c>
      <c r="AM222" s="195">
        <v>0</v>
      </c>
      <c r="AN222" s="196">
        <v>0</v>
      </c>
      <c r="AO222" s="219">
        <v>0</v>
      </c>
      <c r="AP222" s="220">
        <v>0</v>
      </c>
      <c r="AQ222" s="205">
        <f t="shared" si="196"/>
        <v>0</v>
      </c>
      <c r="AR222" s="206">
        <f t="shared" si="197"/>
        <v>0</v>
      </c>
      <c r="AS222" s="193">
        <v>0</v>
      </c>
      <c r="AT222" s="194">
        <v>0</v>
      </c>
      <c r="AU222" s="195">
        <v>0</v>
      </c>
      <c r="AV222" s="196">
        <v>0</v>
      </c>
      <c r="AW222" s="219">
        <v>0</v>
      </c>
      <c r="AX222" s="220">
        <v>0</v>
      </c>
      <c r="AY222" s="205">
        <f t="shared" si="198"/>
        <v>0</v>
      </c>
      <c r="AZ222" s="206">
        <f t="shared" si="175"/>
        <v>0</v>
      </c>
      <c r="BA222" s="207">
        <f t="shared" si="199"/>
        <v>0</v>
      </c>
      <c r="BB222" s="204">
        <f t="shared" si="199"/>
        <v>0</v>
      </c>
      <c r="BC222" s="208">
        <f t="shared" si="200"/>
        <v>425</v>
      </c>
      <c r="BD222" s="209">
        <f t="shared" si="200"/>
        <v>661</v>
      </c>
      <c r="BE222" s="210">
        <f t="shared" si="201"/>
        <v>201</v>
      </c>
      <c r="BF222" s="211">
        <f t="shared" si="201"/>
        <v>286</v>
      </c>
      <c r="BG222" s="212">
        <f t="shared" si="202"/>
        <v>626</v>
      </c>
      <c r="BH222" s="213">
        <f t="shared" si="202"/>
        <v>947</v>
      </c>
    </row>
    <row r="223" spans="1:60" ht="21" x14ac:dyDescent="0.3">
      <c r="A223" s="214" t="s">
        <v>897</v>
      </c>
      <c r="B223" s="306">
        <v>3</v>
      </c>
      <c r="C223" s="180">
        <v>5</v>
      </c>
      <c r="D223" s="215" t="s">
        <v>655</v>
      </c>
      <c r="E223" s="182" t="s">
        <v>915</v>
      </c>
      <c r="F223" s="183" t="s">
        <v>916</v>
      </c>
      <c r="G223" s="216" t="s">
        <v>917</v>
      </c>
      <c r="H223" s="217" t="s">
        <v>918</v>
      </c>
      <c r="I223" s="217" t="s">
        <v>919</v>
      </c>
      <c r="J223" s="218">
        <v>45876.479166666664</v>
      </c>
      <c r="K223" s="223">
        <f t="shared" si="185"/>
        <v>0.15486111111385981</v>
      </c>
      <c r="L223" s="222">
        <v>0</v>
      </c>
      <c r="M223" s="189">
        <f t="shared" si="186"/>
        <v>0.15486111111385981</v>
      </c>
      <c r="N223" s="189">
        <f t="shared" si="187"/>
        <v>0.47222222221898846</v>
      </c>
      <c r="O223" s="190">
        <f t="shared" si="188"/>
        <v>25.022421524219542</v>
      </c>
      <c r="P223" s="190">
        <f t="shared" si="189"/>
        <v>25.022421524219542</v>
      </c>
      <c r="Q223" s="191">
        <f t="shared" si="190"/>
        <v>8.205882352997369</v>
      </c>
      <c r="R223" s="192" t="s">
        <v>57</v>
      </c>
      <c r="S223" s="193">
        <v>1</v>
      </c>
      <c r="T223" s="194">
        <v>0</v>
      </c>
      <c r="U223" s="195">
        <v>0</v>
      </c>
      <c r="V223" s="196">
        <v>40</v>
      </c>
      <c r="W223" s="219">
        <v>0</v>
      </c>
      <c r="X223" s="220">
        <v>0</v>
      </c>
      <c r="Y223" s="199">
        <f t="shared" si="203"/>
        <v>41</v>
      </c>
      <c r="Z223" s="200">
        <f t="shared" si="192"/>
        <v>81</v>
      </c>
      <c r="AA223" s="193">
        <v>10</v>
      </c>
      <c r="AB223" s="194">
        <v>3</v>
      </c>
      <c r="AC223" s="195">
        <v>39</v>
      </c>
      <c r="AD223" s="201">
        <v>0</v>
      </c>
      <c r="AE223" s="221">
        <v>0</v>
      </c>
      <c r="AF223" s="220">
        <v>0</v>
      </c>
      <c r="AG223" s="199">
        <f t="shared" si="193"/>
        <v>52</v>
      </c>
      <c r="AH223" s="200">
        <f t="shared" si="194"/>
        <v>91</v>
      </c>
      <c r="AI223" s="203">
        <f t="shared" si="195"/>
        <v>93</v>
      </c>
      <c r="AJ223" s="204">
        <f t="shared" si="195"/>
        <v>172</v>
      </c>
      <c r="AK223" s="193">
        <v>0</v>
      </c>
      <c r="AL223" s="194">
        <v>0</v>
      </c>
      <c r="AM223" s="195">
        <v>0</v>
      </c>
      <c r="AN223" s="196">
        <v>0</v>
      </c>
      <c r="AO223" s="219">
        <v>0</v>
      </c>
      <c r="AP223" s="220">
        <v>0</v>
      </c>
      <c r="AQ223" s="205">
        <f t="shared" si="196"/>
        <v>0</v>
      </c>
      <c r="AR223" s="206">
        <f t="shared" si="197"/>
        <v>0</v>
      </c>
      <c r="AS223" s="193">
        <v>0</v>
      </c>
      <c r="AT223" s="194">
        <v>0</v>
      </c>
      <c r="AU223" s="195">
        <v>0</v>
      </c>
      <c r="AV223" s="196">
        <v>0</v>
      </c>
      <c r="AW223" s="219">
        <v>0</v>
      </c>
      <c r="AX223" s="220">
        <v>0</v>
      </c>
      <c r="AY223" s="205">
        <f t="shared" si="198"/>
        <v>0</v>
      </c>
      <c r="AZ223" s="206">
        <f t="shared" si="175"/>
        <v>0</v>
      </c>
      <c r="BA223" s="207">
        <f t="shared" si="199"/>
        <v>0</v>
      </c>
      <c r="BB223" s="204">
        <f t="shared" si="199"/>
        <v>0</v>
      </c>
      <c r="BC223" s="208">
        <f t="shared" si="200"/>
        <v>41</v>
      </c>
      <c r="BD223" s="209">
        <f t="shared" si="200"/>
        <v>81</v>
      </c>
      <c r="BE223" s="210">
        <f t="shared" si="201"/>
        <v>52</v>
      </c>
      <c r="BF223" s="211">
        <f t="shared" si="201"/>
        <v>91</v>
      </c>
      <c r="BG223" s="212">
        <f t="shared" si="202"/>
        <v>93</v>
      </c>
      <c r="BH223" s="213">
        <f t="shared" si="202"/>
        <v>172</v>
      </c>
    </row>
    <row r="224" spans="1:60" ht="21" x14ac:dyDescent="0.3">
      <c r="A224" s="214" t="s">
        <v>897</v>
      </c>
      <c r="B224" s="306">
        <v>4</v>
      </c>
      <c r="C224" s="180">
        <v>6</v>
      </c>
      <c r="D224" s="215" t="s">
        <v>72</v>
      </c>
      <c r="E224" s="182" t="s">
        <v>920</v>
      </c>
      <c r="F224" s="183" t="s">
        <v>760</v>
      </c>
      <c r="G224" s="216" t="s">
        <v>921</v>
      </c>
      <c r="H224" s="217" t="s">
        <v>922</v>
      </c>
      <c r="I224" s="217" t="s">
        <v>923</v>
      </c>
      <c r="J224" s="218">
        <v>45877</v>
      </c>
      <c r="K224" s="223">
        <f t="shared" si="185"/>
        <v>0.46805555555329192</v>
      </c>
      <c r="L224" s="222">
        <v>0</v>
      </c>
      <c r="M224" s="189">
        <f t="shared" si="186"/>
        <v>0.46805555555329192</v>
      </c>
      <c r="N224" s="189">
        <f t="shared" si="187"/>
        <v>0.66666666666424135</v>
      </c>
      <c r="O224" s="190">
        <f t="shared" si="188"/>
        <v>39.525222552119935</v>
      </c>
      <c r="P224" s="190">
        <f t="shared" si="189"/>
        <v>39.525222552119935</v>
      </c>
      <c r="Q224" s="191">
        <f t="shared" si="190"/>
        <v>27.750000000100954</v>
      </c>
      <c r="R224" s="192" t="s">
        <v>57</v>
      </c>
      <c r="S224" s="193">
        <v>46</v>
      </c>
      <c r="T224" s="194">
        <v>30</v>
      </c>
      <c r="U224" s="195">
        <v>20</v>
      </c>
      <c r="V224" s="196">
        <v>0</v>
      </c>
      <c r="W224" s="219">
        <v>0</v>
      </c>
      <c r="X224" s="220">
        <v>0</v>
      </c>
      <c r="Y224" s="199">
        <f t="shared" si="203"/>
        <v>96</v>
      </c>
      <c r="Z224" s="200">
        <f t="shared" si="192"/>
        <v>116</v>
      </c>
      <c r="AA224" s="193">
        <v>63</v>
      </c>
      <c r="AB224" s="194">
        <v>0</v>
      </c>
      <c r="AC224" s="195">
        <v>68</v>
      </c>
      <c r="AD224" s="201">
        <v>53</v>
      </c>
      <c r="AE224" s="221">
        <v>0</v>
      </c>
      <c r="AF224" s="220">
        <v>0</v>
      </c>
      <c r="AG224" s="199">
        <f t="shared" si="193"/>
        <v>184</v>
      </c>
      <c r="AH224" s="200">
        <f t="shared" si="194"/>
        <v>305</v>
      </c>
      <c r="AI224" s="203">
        <f t="shared" si="195"/>
        <v>280</v>
      </c>
      <c r="AJ224" s="204">
        <f t="shared" si="195"/>
        <v>421</v>
      </c>
      <c r="AK224" s="193">
        <v>0</v>
      </c>
      <c r="AL224" s="194">
        <v>0</v>
      </c>
      <c r="AM224" s="195">
        <v>52</v>
      </c>
      <c r="AN224" s="196">
        <v>30</v>
      </c>
      <c r="AO224" s="219">
        <v>0</v>
      </c>
      <c r="AP224" s="220">
        <v>0</v>
      </c>
      <c r="AQ224" s="205">
        <f t="shared" si="196"/>
        <v>82</v>
      </c>
      <c r="AR224" s="206">
        <f t="shared" si="197"/>
        <v>164</v>
      </c>
      <c r="AS224" s="193">
        <v>0</v>
      </c>
      <c r="AT224" s="194">
        <v>0</v>
      </c>
      <c r="AU224" s="195">
        <v>52</v>
      </c>
      <c r="AV224" s="196">
        <v>30</v>
      </c>
      <c r="AW224" s="219">
        <v>0</v>
      </c>
      <c r="AX224" s="220">
        <v>0</v>
      </c>
      <c r="AY224" s="205">
        <f t="shared" si="198"/>
        <v>82</v>
      </c>
      <c r="AZ224" s="206">
        <f t="shared" si="175"/>
        <v>164</v>
      </c>
      <c r="BA224" s="207">
        <f t="shared" si="199"/>
        <v>164</v>
      </c>
      <c r="BB224" s="204">
        <f t="shared" si="199"/>
        <v>328</v>
      </c>
      <c r="BC224" s="208">
        <f t="shared" si="200"/>
        <v>178</v>
      </c>
      <c r="BD224" s="209">
        <f t="shared" si="200"/>
        <v>280</v>
      </c>
      <c r="BE224" s="210">
        <f t="shared" si="201"/>
        <v>266</v>
      </c>
      <c r="BF224" s="211">
        <f t="shared" si="201"/>
        <v>469</v>
      </c>
      <c r="BG224" s="212">
        <f t="shared" si="202"/>
        <v>444</v>
      </c>
      <c r="BH224" s="213">
        <f t="shared" si="202"/>
        <v>749</v>
      </c>
    </row>
    <row r="225" spans="1:60" ht="21" x14ac:dyDescent="0.3">
      <c r="A225" s="214" t="s">
        <v>897</v>
      </c>
      <c r="B225" s="306">
        <v>5</v>
      </c>
      <c r="C225" s="180">
        <v>7</v>
      </c>
      <c r="D225" s="215" t="s">
        <v>231</v>
      </c>
      <c r="E225" s="182" t="s">
        <v>924</v>
      </c>
      <c r="F225" s="183" t="s">
        <v>793</v>
      </c>
      <c r="G225" s="216" t="s">
        <v>925</v>
      </c>
      <c r="H225" s="217" t="s">
        <v>926</v>
      </c>
      <c r="I225" s="217" t="s">
        <v>927</v>
      </c>
      <c r="J225" s="218">
        <v>45877.666666666664</v>
      </c>
      <c r="K225" s="223">
        <f t="shared" si="185"/>
        <v>0.50694444444525288</v>
      </c>
      <c r="L225" s="222">
        <v>0</v>
      </c>
      <c r="M225" s="189">
        <f t="shared" si="186"/>
        <v>0.50694444444525288</v>
      </c>
      <c r="N225" s="189">
        <f t="shared" si="187"/>
        <v>0.5625</v>
      </c>
      <c r="O225" s="190">
        <f t="shared" si="188"/>
        <v>50.54794520539884</v>
      </c>
      <c r="P225" s="190">
        <f t="shared" si="189"/>
        <v>50.54794520539884</v>
      </c>
      <c r="Q225" s="191">
        <f t="shared" si="190"/>
        <v>45.55555555555555</v>
      </c>
      <c r="R225" s="192" t="s">
        <v>57</v>
      </c>
      <c r="S225" s="193">
        <v>168</v>
      </c>
      <c r="T225" s="194">
        <v>0</v>
      </c>
      <c r="U225" s="195">
        <v>103</v>
      </c>
      <c r="V225" s="196">
        <v>0</v>
      </c>
      <c r="W225" s="219">
        <v>0</v>
      </c>
      <c r="X225" s="220">
        <v>0</v>
      </c>
      <c r="Y225" s="199">
        <f t="shared" si="203"/>
        <v>271</v>
      </c>
      <c r="Z225" s="200">
        <f t="shared" si="192"/>
        <v>374</v>
      </c>
      <c r="AA225" s="193">
        <v>115</v>
      </c>
      <c r="AB225" s="194">
        <v>63</v>
      </c>
      <c r="AC225" s="195">
        <v>123</v>
      </c>
      <c r="AD225" s="201">
        <v>31</v>
      </c>
      <c r="AE225" s="221">
        <v>0</v>
      </c>
      <c r="AF225" s="220">
        <v>12</v>
      </c>
      <c r="AG225" s="199">
        <f t="shared" si="193"/>
        <v>344</v>
      </c>
      <c r="AH225" s="200">
        <f t="shared" si="194"/>
        <v>510</v>
      </c>
      <c r="AI225" s="203">
        <f t="shared" si="195"/>
        <v>615</v>
      </c>
      <c r="AJ225" s="204">
        <f t="shared" si="195"/>
        <v>884</v>
      </c>
      <c r="AK225" s="193">
        <v>0</v>
      </c>
      <c r="AL225" s="194">
        <v>0</v>
      </c>
      <c r="AM225" s="195">
        <v>0</v>
      </c>
      <c r="AN225" s="196">
        <v>0</v>
      </c>
      <c r="AO225" s="219">
        <v>0</v>
      </c>
      <c r="AP225" s="220">
        <v>0</v>
      </c>
      <c r="AQ225" s="205">
        <f t="shared" si="196"/>
        <v>0</v>
      </c>
      <c r="AR225" s="206">
        <f t="shared" si="197"/>
        <v>0</v>
      </c>
      <c r="AS225" s="193">
        <v>0</v>
      </c>
      <c r="AT225" s="194">
        <v>0</v>
      </c>
      <c r="AU225" s="195">
        <v>0</v>
      </c>
      <c r="AV225" s="196">
        <v>0</v>
      </c>
      <c r="AW225" s="219">
        <v>0</v>
      </c>
      <c r="AX225" s="220">
        <v>0</v>
      </c>
      <c r="AY225" s="205">
        <f t="shared" si="198"/>
        <v>0</v>
      </c>
      <c r="AZ225" s="206">
        <f t="shared" si="175"/>
        <v>0</v>
      </c>
      <c r="BA225" s="207">
        <f t="shared" si="199"/>
        <v>0</v>
      </c>
      <c r="BB225" s="204">
        <f t="shared" si="199"/>
        <v>0</v>
      </c>
      <c r="BC225" s="208">
        <f t="shared" si="200"/>
        <v>271</v>
      </c>
      <c r="BD225" s="209">
        <f t="shared" si="200"/>
        <v>374</v>
      </c>
      <c r="BE225" s="210">
        <f t="shared" si="201"/>
        <v>344</v>
      </c>
      <c r="BF225" s="211">
        <f t="shared" si="201"/>
        <v>510</v>
      </c>
      <c r="BG225" s="212">
        <f t="shared" si="202"/>
        <v>615</v>
      </c>
      <c r="BH225" s="213">
        <f t="shared" si="202"/>
        <v>884</v>
      </c>
    </row>
    <row r="226" spans="1:60" ht="21" x14ac:dyDescent="0.3">
      <c r="A226" s="214" t="s">
        <v>897</v>
      </c>
      <c r="B226" s="306">
        <v>3</v>
      </c>
      <c r="C226" s="180">
        <v>8</v>
      </c>
      <c r="D226" s="215" t="s">
        <v>65</v>
      </c>
      <c r="E226" s="182" t="s">
        <v>928</v>
      </c>
      <c r="F226" s="183" t="s">
        <v>929</v>
      </c>
      <c r="G226" s="216" t="s">
        <v>930</v>
      </c>
      <c r="H226" s="217" t="s">
        <v>931</v>
      </c>
      <c r="I226" s="217" t="s">
        <v>932</v>
      </c>
      <c r="J226" s="218">
        <v>45880.0625</v>
      </c>
      <c r="K226" s="223">
        <f t="shared" si="185"/>
        <v>0.413888888884685</v>
      </c>
      <c r="L226" s="222">
        <v>0</v>
      </c>
      <c r="M226" s="189">
        <f t="shared" si="186"/>
        <v>0.413888888884685</v>
      </c>
      <c r="N226" s="189">
        <f t="shared" si="187"/>
        <v>0.45833333333575865</v>
      </c>
      <c r="O226" s="190">
        <f t="shared" si="188"/>
        <v>58.288590604618889</v>
      </c>
      <c r="P226" s="190">
        <f t="shared" si="189"/>
        <v>58.288590604618889</v>
      </c>
      <c r="Q226" s="191">
        <f t="shared" si="190"/>
        <v>52.6363636360851</v>
      </c>
      <c r="R226" s="192" t="s">
        <v>71</v>
      </c>
      <c r="S226" s="193">
        <v>127</v>
      </c>
      <c r="T226" s="194">
        <v>2</v>
      </c>
      <c r="U226" s="195">
        <v>149</v>
      </c>
      <c r="V226" s="196">
        <v>24</v>
      </c>
      <c r="W226" s="219">
        <v>0</v>
      </c>
      <c r="X226" s="220">
        <v>4</v>
      </c>
      <c r="Y226" s="199">
        <f t="shared" si="203"/>
        <v>306</v>
      </c>
      <c r="Z226" s="200">
        <f t="shared" si="192"/>
        <v>483</v>
      </c>
      <c r="AA226" s="193">
        <v>88</v>
      </c>
      <c r="AB226" s="194">
        <v>28</v>
      </c>
      <c r="AC226" s="195">
        <v>139</v>
      </c>
      <c r="AD226" s="201">
        <v>14</v>
      </c>
      <c r="AE226" s="221">
        <v>0</v>
      </c>
      <c r="AF226" s="220">
        <v>4</v>
      </c>
      <c r="AG226" s="199">
        <f t="shared" si="193"/>
        <v>273</v>
      </c>
      <c r="AH226" s="200">
        <f t="shared" si="194"/>
        <v>430</v>
      </c>
      <c r="AI226" s="203">
        <f t="shared" si="195"/>
        <v>579</v>
      </c>
      <c r="AJ226" s="204">
        <f t="shared" si="195"/>
        <v>913</v>
      </c>
      <c r="AK226" s="193">
        <v>0</v>
      </c>
      <c r="AL226" s="194">
        <v>0</v>
      </c>
      <c r="AM226" s="195">
        <v>0</v>
      </c>
      <c r="AN226" s="196">
        <v>0</v>
      </c>
      <c r="AO226" s="219">
        <v>0</v>
      </c>
      <c r="AP226" s="220">
        <v>0</v>
      </c>
      <c r="AQ226" s="205">
        <f t="shared" si="196"/>
        <v>0</v>
      </c>
      <c r="AR226" s="206">
        <f t="shared" si="197"/>
        <v>0</v>
      </c>
      <c r="AS226" s="193">
        <v>0</v>
      </c>
      <c r="AT226" s="194">
        <v>0</v>
      </c>
      <c r="AU226" s="195">
        <v>0</v>
      </c>
      <c r="AV226" s="196">
        <v>0</v>
      </c>
      <c r="AW226" s="219">
        <v>0</v>
      </c>
      <c r="AX226" s="220">
        <v>0</v>
      </c>
      <c r="AY226" s="205">
        <f t="shared" si="198"/>
        <v>0</v>
      </c>
      <c r="AZ226" s="206">
        <f t="shared" si="175"/>
        <v>0</v>
      </c>
      <c r="BA226" s="207">
        <f t="shared" si="199"/>
        <v>0</v>
      </c>
      <c r="BB226" s="204">
        <f t="shared" si="199"/>
        <v>0</v>
      </c>
      <c r="BC226" s="208">
        <f t="shared" si="200"/>
        <v>306</v>
      </c>
      <c r="BD226" s="209">
        <f t="shared" si="200"/>
        <v>483</v>
      </c>
      <c r="BE226" s="210">
        <f t="shared" si="201"/>
        <v>273</v>
      </c>
      <c r="BF226" s="211">
        <f t="shared" si="201"/>
        <v>430</v>
      </c>
      <c r="BG226" s="212">
        <f t="shared" si="202"/>
        <v>579</v>
      </c>
      <c r="BH226" s="213">
        <f t="shared" si="202"/>
        <v>913</v>
      </c>
    </row>
    <row r="227" spans="1:60" ht="21" x14ac:dyDescent="0.3">
      <c r="A227" s="214" t="s">
        <v>897</v>
      </c>
      <c r="B227" s="306">
        <v>6</v>
      </c>
      <c r="C227" s="180">
        <v>9</v>
      </c>
      <c r="D227" s="215" t="s">
        <v>51</v>
      </c>
      <c r="E227" s="182" t="s">
        <v>933</v>
      </c>
      <c r="F227" s="183" t="s">
        <v>900</v>
      </c>
      <c r="G227" s="216" t="s">
        <v>934</v>
      </c>
      <c r="H227" s="217" t="s">
        <v>935</v>
      </c>
      <c r="I227" s="217" t="s">
        <v>936</v>
      </c>
      <c r="J227" s="218">
        <v>45882.104166666664</v>
      </c>
      <c r="K227" s="223">
        <f t="shared" si="185"/>
        <v>0.43402777777373558</v>
      </c>
      <c r="L227" s="222">
        <v>0</v>
      </c>
      <c r="M227" s="189">
        <f t="shared" si="186"/>
        <v>0.43402777777373558</v>
      </c>
      <c r="N227" s="189">
        <f t="shared" si="187"/>
        <v>0.47916666666424135</v>
      </c>
      <c r="O227" s="190">
        <f t="shared" si="188"/>
        <v>61.728000000574887</v>
      </c>
      <c r="P227" s="190">
        <f t="shared" si="189"/>
        <v>61.728000000574887</v>
      </c>
      <c r="Q227" s="191">
        <f t="shared" si="190"/>
        <v>55.913043478543877</v>
      </c>
      <c r="R227" s="192" t="s">
        <v>57</v>
      </c>
      <c r="S227" s="193">
        <v>152</v>
      </c>
      <c r="T227" s="194">
        <v>0</v>
      </c>
      <c r="U227" s="195">
        <v>120</v>
      </c>
      <c r="V227" s="196">
        <v>22</v>
      </c>
      <c r="W227" s="219">
        <v>0</v>
      </c>
      <c r="X227" s="220">
        <v>0</v>
      </c>
      <c r="Y227" s="199">
        <f t="shared" si="203"/>
        <v>294</v>
      </c>
      <c r="Z227" s="200">
        <f t="shared" si="192"/>
        <v>436</v>
      </c>
      <c r="AA227" s="193">
        <v>114</v>
      </c>
      <c r="AB227" s="194">
        <v>100</v>
      </c>
      <c r="AC227" s="195">
        <v>120</v>
      </c>
      <c r="AD227" s="201">
        <v>0</v>
      </c>
      <c r="AE227" s="221">
        <v>0</v>
      </c>
      <c r="AF227" s="220">
        <v>15</v>
      </c>
      <c r="AG227" s="199">
        <f t="shared" si="193"/>
        <v>349</v>
      </c>
      <c r="AH227" s="200">
        <f t="shared" si="194"/>
        <v>484</v>
      </c>
      <c r="AI227" s="203">
        <f t="shared" si="195"/>
        <v>643</v>
      </c>
      <c r="AJ227" s="204">
        <f t="shared" si="195"/>
        <v>920</v>
      </c>
      <c r="AK227" s="193">
        <v>0</v>
      </c>
      <c r="AL227" s="194">
        <v>0</v>
      </c>
      <c r="AM227" s="195">
        <v>0</v>
      </c>
      <c r="AN227" s="196">
        <v>0</v>
      </c>
      <c r="AO227" s="219">
        <v>0</v>
      </c>
      <c r="AP227" s="220">
        <v>0</v>
      </c>
      <c r="AQ227" s="205">
        <f t="shared" si="196"/>
        <v>0</v>
      </c>
      <c r="AR227" s="206">
        <f t="shared" si="197"/>
        <v>0</v>
      </c>
      <c r="AS227" s="193">
        <v>0</v>
      </c>
      <c r="AT227" s="194">
        <v>0</v>
      </c>
      <c r="AU227" s="195">
        <v>0</v>
      </c>
      <c r="AV227" s="196">
        <v>0</v>
      </c>
      <c r="AW227" s="219">
        <v>0</v>
      </c>
      <c r="AX227" s="220">
        <v>0</v>
      </c>
      <c r="AY227" s="205">
        <f t="shared" si="198"/>
        <v>0</v>
      </c>
      <c r="AZ227" s="206">
        <f t="shared" si="175"/>
        <v>0</v>
      </c>
      <c r="BA227" s="207">
        <f t="shared" si="199"/>
        <v>0</v>
      </c>
      <c r="BB227" s="204">
        <f t="shared" si="199"/>
        <v>0</v>
      </c>
      <c r="BC227" s="208">
        <f t="shared" si="200"/>
        <v>294</v>
      </c>
      <c r="BD227" s="209">
        <f t="shared" si="200"/>
        <v>436</v>
      </c>
      <c r="BE227" s="210">
        <f t="shared" si="201"/>
        <v>349</v>
      </c>
      <c r="BF227" s="211">
        <f t="shared" si="201"/>
        <v>484</v>
      </c>
      <c r="BG227" s="212">
        <f t="shared" si="202"/>
        <v>643</v>
      </c>
      <c r="BH227" s="213">
        <f t="shared" si="202"/>
        <v>920</v>
      </c>
    </row>
    <row r="228" spans="1:60" ht="21" x14ac:dyDescent="0.3">
      <c r="A228" s="214" t="s">
        <v>897</v>
      </c>
      <c r="B228" s="306">
        <v>7</v>
      </c>
      <c r="C228" s="180">
        <v>10</v>
      </c>
      <c r="D228" s="215" t="s">
        <v>72</v>
      </c>
      <c r="E228" s="182" t="s">
        <v>937</v>
      </c>
      <c r="F228" s="183" t="s">
        <v>793</v>
      </c>
      <c r="G228" s="216" t="s">
        <v>938</v>
      </c>
      <c r="H228" s="217" t="s">
        <v>939</v>
      </c>
      <c r="I228" s="217" t="s">
        <v>940</v>
      </c>
      <c r="J228" s="218">
        <v>45883.208333333336</v>
      </c>
      <c r="K228" s="223">
        <f t="shared" si="185"/>
        <v>0.52083333333575865</v>
      </c>
      <c r="L228" s="222">
        <v>3.8194444445252884E-2</v>
      </c>
      <c r="M228" s="189">
        <f t="shared" si="186"/>
        <v>0.48263888889050577</v>
      </c>
      <c r="N228" s="189">
        <f t="shared" si="187"/>
        <v>0.54166666667151731</v>
      </c>
      <c r="O228" s="190">
        <f t="shared" si="188"/>
        <v>26.503597122213367</v>
      </c>
      <c r="P228" s="190">
        <f t="shared" si="189"/>
        <v>24.559999999885633</v>
      </c>
      <c r="Q228" s="191">
        <f t="shared" si="190"/>
        <v>23.615384615173138</v>
      </c>
      <c r="R228" s="192" t="s">
        <v>57</v>
      </c>
      <c r="S228" s="193">
        <v>54</v>
      </c>
      <c r="T228" s="194">
        <v>0</v>
      </c>
      <c r="U228" s="195">
        <v>49</v>
      </c>
      <c r="V228" s="196">
        <v>1</v>
      </c>
      <c r="W228" s="219">
        <v>0</v>
      </c>
      <c r="X228" s="220">
        <v>0</v>
      </c>
      <c r="Y228" s="199">
        <f t="shared" si="203"/>
        <v>104</v>
      </c>
      <c r="Z228" s="200">
        <f t="shared" si="192"/>
        <v>154</v>
      </c>
      <c r="AA228" s="193">
        <v>81</v>
      </c>
      <c r="AB228" s="194">
        <v>0</v>
      </c>
      <c r="AC228" s="195">
        <v>104</v>
      </c>
      <c r="AD228" s="201">
        <v>0</v>
      </c>
      <c r="AE228" s="221">
        <v>0</v>
      </c>
      <c r="AF228" s="220">
        <v>0</v>
      </c>
      <c r="AG228" s="199">
        <f t="shared" si="193"/>
        <v>185</v>
      </c>
      <c r="AH228" s="200">
        <f t="shared" si="194"/>
        <v>289</v>
      </c>
      <c r="AI228" s="203">
        <f t="shared" si="195"/>
        <v>289</v>
      </c>
      <c r="AJ228" s="204">
        <f t="shared" si="195"/>
        <v>443</v>
      </c>
      <c r="AK228" s="193">
        <v>0</v>
      </c>
      <c r="AL228" s="194">
        <v>0</v>
      </c>
      <c r="AM228" s="195">
        <v>9</v>
      </c>
      <c r="AN228" s="196">
        <v>0</v>
      </c>
      <c r="AO228" s="219">
        <v>0</v>
      </c>
      <c r="AP228" s="220">
        <v>0</v>
      </c>
      <c r="AQ228" s="205">
        <f t="shared" si="196"/>
        <v>9</v>
      </c>
      <c r="AR228" s="206">
        <f t="shared" si="197"/>
        <v>18</v>
      </c>
      <c r="AS228" s="193">
        <v>0</v>
      </c>
      <c r="AT228" s="194">
        <v>0</v>
      </c>
      <c r="AU228" s="195">
        <v>9</v>
      </c>
      <c r="AV228" s="196">
        <v>0</v>
      </c>
      <c r="AW228" s="219">
        <v>0</v>
      </c>
      <c r="AX228" s="220">
        <v>0</v>
      </c>
      <c r="AY228" s="205">
        <f t="shared" si="198"/>
        <v>9</v>
      </c>
      <c r="AZ228" s="206">
        <f t="shared" si="175"/>
        <v>18</v>
      </c>
      <c r="BA228" s="207">
        <f t="shared" si="199"/>
        <v>18</v>
      </c>
      <c r="BB228" s="204">
        <f t="shared" si="199"/>
        <v>36</v>
      </c>
      <c r="BC228" s="208">
        <f t="shared" si="200"/>
        <v>113</v>
      </c>
      <c r="BD228" s="209">
        <f t="shared" si="200"/>
        <v>172</v>
      </c>
      <c r="BE228" s="210">
        <f t="shared" si="201"/>
        <v>194</v>
      </c>
      <c r="BF228" s="211">
        <f t="shared" si="201"/>
        <v>307</v>
      </c>
      <c r="BG228" s="212">
        <f t="shared" si="202"/>
        <v>307</v>
      </c>
      <c r="BH228" s="213">
        <f t="shared" si="202"/>
        <v>479</v>
      </c>
    </row>
    <row r="229" spans="1:60" ht="21" x14ac:dyDescent="0.3">
      <c r="A229" s="214" t="s">
        <v>897</v>
      </c>
      <c r="B229" s="306">
        <v>4</v>
      </c>
      <c r="C229" s="180">
        <v>11</v>
      </c>
      <c r="D229" s="215" t="s">
        <v>79</v>
      </c>
      <c r="E229" s="182" t="s">
        <v>941</v>
      </c>
      <c r="F229" s="183" t="s">
        <v>929</v>
      </c>
      <c r="G229" s="216" t="s">
        <v>942</v>
      </c>
      <c r="H229" s="217" t="s">
        <v>943</v>
      </c>
      <c r="I229" s="217" t="s">
        <v>944</v>
      </c>
      <c r="J229" s="218">
        <v>45883.204861111109</v>
      </c>
      <c r="K229" s="223">
        <f t="shared" si="185"/>
        <v>0.45069444444379769</v>
      </c>
      <c r="L229" s="222">
        <v>0</v>
      </c>
      <c r="M229" s="189">
        <f t="shared" si="186"/>
        <v>0.45069444444379769</v>
      </c>
      <c r="N229" s="189">
        <f t="shared" si="187"/>
        <v>0.47916666666424135</v>
      </c>
      <c r="O229" s="190">
        <f t="shared" si="188"/>
        <v>55.100154083283996</v>
      </c>
      <c r="P229" s="190">
        <f t="shared" si="189"/>
        <v>55.100154083283996</v>
      </c>
      <c r="Q229" s="191">
        <f t="shared" si="190"/>
        <v>51.82608695678406</v>
      </c>
      <c r="R229" s="192" t="s">
        <v>71</v>
      </c>
      <c r="S229" s="193">
        <v>128</v>
      </c>
      <c r="T229" s="194">
        <v>2</v>
      </c>
      <c r="U229" s="195">
        <v>147</v>
      </c>
      <c r="V229" s="196">
        <v>22</v>
      </c>
      <c r="W229" s="219">
        <v>0</v>
      </c>
      <c r="X229" s="220">
        <v>0</v>
      </c>
      <c r="Y229" s="199">
        <f t="shared" si="203"/>
        <v>299</v>
      </c>
      <c r="Z229" s="200">
        <f t="shared" si="192"/>
        <v>468</v>
      </c>
      <c r="AA229" s="193">
        <v>93</v>
      </c>
      <c r="AB229" s="194">
        <v>41</v>
      </c>
      <c r="AC229" s="195">
        <v>124</v>
      </c>
      <c r="AD229" s="201">
        <v>34</v>
      </c>
      <c r="AE229" s="221">
        <v>0</v>
      </c>
      <c r="AF229" s="220">
        <v>5</v>
      </c>
      <c r="AG229" s="199">
        <f t="shared" si="193"/>
        <v>297</v>
      </c>
      <c r="AH229" s="200">
        <f t="shared" si="194"/>
        <v>460</v>
      </c>
      <c r="AI229" s="203">
        <f t="shared" si="195"/>
        <v>596</v>
      </c>
      <c r="AJ229" s="204">
        <f t="shared" si="195"/>
        <v>928</v>
      </c>
      <c r="AK229" s="193">
        <v>0</v>
      </c>
      <c r="AL229" s="194">
        <v>0</v>
      </c>
      <c r="AM229" s="195">
        <v>0</v>
      </c>
      <c r="AN229" s="196">
        <v>0</v>
      </c>
      <c r="AO229" s="219">
        <v>0</v>
      </c>
      <c r="AP229" s="220">
        <v>0</v>
      </c>
      <c r="AQ229" s="205">
        <f t="shared" si="196"/>
        <v>0</v>
      </c>
      <c r="AR229" s="206">
        <f t="shared" si="197"/>
        <v>0</v>
      </c>
      <c r="AS229" s="193">
        <v>0</v>
      </c>
      <c r="AT229" s="194">
        <v>0</v>
      </c>
      <c r="AU229" s="195">
        <v>0</v>
      </c>
      <c r="AV229" s="196">
        <v>0</v>
      </c>
      <c r="AW229" s="219">
        <v>0</v>
      </c>
      <c r="AX229" s="220">
        <v>0</v>
      </c>
      <c r="AY229" s="205">
        <f t="shared" si="198"/>
        <v>0</v>
      </c>
      <c r="AZ229" s="206">
        <f t="shared" si="175"/>
        <v>0</v>
      </c>
      <c r="BA229" s="207">
        <f t="shared" si="199"/>
        <v>0</v>
      </c>
      <c r="BB229" s="204">
        <f t="shared" si="199"/>
        <v>0</v>
      </c>
      <c r="BC229" s="208">
        <f t="shared" si="200"/>
        <v>299</v>
      </c>
      <c r="BD229" s="209">
        <f t="shared" si="200"/>
        <v>468</v>
      </c>
      <c r="BE229" s="210">
        <f t="shared" si="201"/>
        <v>297</v>
      </c>
      <c r="BF229" s="211">
        <f t="shared" si="201"/>
        <v>460</v>
      </c>
      <c r="BG229" s="212">
        <f t="shared" si="202"/>
        <v>596</v>
      </c>
      <c r="BH229" s="213">
        <f t="shared" si="202"/>
        <v>928</v>
      </c>
    </row>
    <row r="230" spans="1:60" ht="21" x14ac:dyDescent="0.3">
      <c r="A230" s="214" t="s">
        <v>897</v>
      </c>
      <c r="B230" s="306">
        <v>8</v>
      </c>
      <c r="C230" s="180">
        <v>12</v>
      </c>
      <c r="D230" s="215" t="s">
        <v>231</v>
      </c>
      <c r="E230" s="182" t="s">
        <v>945</v>
      </c>
      <c r="F230" s="183" t="s">
        <v>819</v>
      </c>
      <c r="G230" s="216" t="s">
        <v>946</v>
      </c>
      <c r="H230" s="217" t="s">
        <v>947</v>
      </c>
      <c r="I230" s="217" t="s">
        <v>948</v>
      </c>
      <c r="J230" s="218">
        <v>45885.444444444445</v>
      </c>
      <c r="K230" s="223">
        <f t="shared" si="185"/>
        <v>0.44722222222480923</v>
      </c>
      <c r="L230" s="222">
        <v>0</v>
      </c>
      <c r="M230" s="189">
        <f t="shared" si="186"/>
        <v>0.44722222222480923</v>
      </c>
      <c r="N230" s="189">
        <f t="shared" si="187"/>
        <v>0.46180555555474712</v>
      </c>
      <c r="O230" s="190">
        <f t="shared" si="188"/>
        <v>49.565217391017633</v>
      </c>
      <c r="P230" s="190">
        <f t="shared" si="189"/>
        <v>49.565217391017633</v>
      </c>
      <c r="Q230" s="191">
        <f t="shared" si="190"/>
        <v>48.000000000084036</v>
      </c>
      <c r="R230" s="192" t="s">
        <v>57</v>
      </c>
      <c r="S230" s="193">
        <v>126</v>
      </c>
      <c r="T230" s="194">
        <v>0</v>
      </c>
      <c r="U230" s="195">
        <v>119</v>
      </c>
      <c r="V230" s="196">
        <v>0</v>
      </c>
      <c r="W230" s="219">
        <v>0</v>
      </c>
      <c r="X230" s="220">
        <v>0</v>
      </c>
      <c r="Y230" s="199">
        <f t="shared" si="203"/>
        <v>245</v>
      </c>
      <c r="Z230" s="200">
        <f t="shared" si="192"/>
        <v>364</v>
      </c>
      <c r="AA230" s="193">
        <v>120</v>
      </c>
      <c r="AB230" s="194">
        <v>0</v>
      </c>
      <c r="AC230" s="195">
        <v>127</v>
      </c>
      <c r="AD230" s="201">
        <v>20</v>
      </c>
      <c r="AE230" s="221">
        <v>0</v>
      </c>
      <c r="AF230" s="220">
        <v>20</v>
      </c>
      <c r="AG230" s="199">
        <f t="shared" si="193"/>
        <v>287</v>
      </c>
      <c r="AH230" s="200">
        <f t="shared" si="194"/>
        <v>454</v>
      </c>
      <c r="AI230" s="203">
        <f t="shared" si="195"/>
        <v>532</v>
      </c>
      <c r="AJ230" s="204">
        <f t="shared" si="195"/>
        <v>818</v>
      </c>
      <c r="AK230" s="193">
        <v>0</v>
      </c>
      <c r="AL230" s="194">
        <v>0</v>
      </c>
      <c r="AM230" s="195">
        <v>0</v>
      </c>
      <c r="AN230" s="196">
        <v>0</v>
      </c>
      <c r="AO230" s="219">
        <v>0</v>
      </c>
      <c r="AP230" s="220">
        <v>0</v>
      </c>
      <c r="AQ230" s="205">
        <f t="shared" si="196"/>
        <v>0</v>
      </c>
      <c r="AR230" s="206">
        <f t="shared" si="197"/>
        <v>0</v>
      </c>
      <c r="AS230" s="193">
        <v>0</v>
      </c>
      <c r="AT230" s="194">
        <v>0</v>
      </c>
      <c r="AU230" s="195">
        <v>0</v>
      </c>
      <c r="AV230" s="196">
        <v>0</v>
      </c>
      <c r="AW230" s="219">
        <v>0</v>
      </c>
      <c r="AX230" s="220">
        <v>0</v>
      </c>
      <c r="AY230" s="205">
        <f t="shared" si="198"/>
        <v>0</v>
      </c>
      <c r="AZ230" s="206">
        <f t="shared" si="175"/>
        <v>0</v>
      </c>
      <c r="BA230" s="207">
        <f t="shared" si="199"/>
        <v>0</v>
      </c>
      <c r="BB230" s="204">
        <f t="shared" si="199"/>
        <v>0</v>
      </c>
      <c r="BC230" s="208">
        <f t="shared" si="200"/>
        <v>245</v>
      </c>
      <c r="BD230" s="209">
        <f t="shared" si="200"/>
        <v>364</v>
      </c>
      <c r="BE230" s="210">
        <f t="shared" si="201"/>
        <v>287</v>
      </c>
      <c r="BF230" s="211">
        <f t="shared" si="201"/>
        <v>454</v>
      </c>
      <c r="BG230" s="212">
        <f t="shared" si="202"/>
        <v>532</v>
      </c>
      <c r="BH230" s="213">
        <f t="shared" si="202"/>
        <v>818</v>
      </c>
    </row>
    <row r="231" spans="1:60" ht="21" x14ac:dyDescent="0.3">
      <c r="A231" s="214" t="s">
        <v>897</v>
      </c>
      <c r="B231" s="306">
        <v>9</v>
      </c>
      <c r="C231" s="180">
        <v>13</v>
      </c>
      <c r="D231" s="215" t="s">
        <v>655</v>
      </c>
      <c r="E231" s="182" t="s">
        <v>949</v>
      </c>
      <c r="F231" s="183" t="s">
        <v>950</v>
      </c>
      <c r="G231" s="216" t="s">
        <v>951</v>
      </c>
      <c r="H231" s="217" t="s">
        <v>952</v>
      </c>
      <c r="I231" s="217" t="s">
        <v>953</v>
      </c>
      <c r="J231" s="218">
        <v>45885.958333333336</v>
      </c>
      <c r="K231" s="223">
        <f t="shared" si="185"/>
        <v>0.21527777778101154</v>
      </c>
      <c r="L231" s="222">
        <v>7.6388888883229811E-2</v>
      </c>
      <c r="M231" s="189">
        <f t="shared" si="186"/>
        <v>0.13888888889778173</v>
      </c>
      <c r="N231" s="189">
        <f t="shared" si="187"/>
        <v>0.73958333333575865</v>
      </c>
      <c r="O231" s="190">
        <f t="shared" si="188"/>
        <v>14.999999999039574</v>
      </c>
      <c r="P231" s="190">
        <f t="shared" si="189"/>
        <v>9.6774193546933418</v>
      </c>
      <c r="Q231" s="191">
        <f t="shared" si="190"/>
        <v>2.816901408441467</v>
      </c>
      <c r="R231" s="192" t="s">
        <v>57</v>
      </c>
      <c r="S231" s="193">
        <v>0</v>
      </c>
      <c r="T231" s="194">
        <v>0</v>
      </c>
      <c r="U231" s="195">
        <v>2</v>
      </c>
      <c r="V231" s="196">
        <v>35</v>
      </c>
      <c r="W231" s="219">
        <v>0</v>
      </c>
      <c r="X231" s="220">
        <v>0</v>
      </c>
      <c r="Y231" s="199">
        <f t="shared" si="203"/>
        <v>37</v>
      </c>
      <c r="Z231" s="200">
        <f t="shared" si="192"/>
        <v>74</v>
      </c>
      <c r="AA231" s="193">
        <v>0</v>
      </c>
      <c r="AB231" s="194">
        <v>0</v>
      </c>
      <c r="AC231" s="195">
        <v>13</v>
      </c>
      <c r="AD231" s="201">
        <v>0</v>
      </c>
      <c r="AE231" s="221">
        <v>0</v>
      </c>
      <c r="AF231" s="220">
        <v>0</v>
      </c>
      <c r="AG231" s="199">
        <f t="shared" si="193"/>
        <v>13</v>
      </c>
      <c r="AH231" s="200">
        <f t="shared" si="194"/>
        <v>26</v>
      </c>
      <c r="AI231" s="203">
        <f t="shared" si="195"/>
        <v>50</v>
      </c>
      <c r="AJ231" s="204">
        <f t="shared" si="195"/>
        <v>100</v>
      </c>
      <c r="AK231" s="193">
        <v>0</v>
      </c>
      <c r="AL231" s="194">
        <v>0</v>
      </c>
      <c r="AM231" s="195">
        <v>0</v>
      </c>
      <c r="AN231" s="196">
        <v>0</v>
      </c>
      <c r="AO231" s="219">
        <v>0</v>
      </c>
      <c r="AP231" s="220">
        <v>0</v>
      </c>
      <c r="AQ231" s="205">
        <f t="shared" si="196"/>
        <v>0</v>
      </c>
      <c r="AR231" s="206">
        <f t="shared" si="197"/>
        <v>0</v>
      </c>
      <c r="AS231" s="193">
        <v>0</v>
      </c>
      <c r="AT231" s="194">
        <v>0</v>
      </c>
      <c r="AU231" s="195">
        <v>0</v>
      </c>
      <c r="AV231" s="196">
        <v>0</v>
      </c>
      <c r="AW231" s="219">
        <v>0</v>
      </c>
      <c r="AX231" s="220">
        <v>0</v>
      </c>
      <c r="AY231" s="205">
        <f t="shared" si="198"/>
        <v>0</v>
      </c>
      <c r="AZ231" s="206">
        <f t="shared" si="175"/>
        <v>0</v>
      </c>
      <c r="BA231" s="207">
        <f t="shared" si="199"/>
        <v>0</v>
      </c>
      <c r="BB231" s="204">
        <f t="shared" si="199"/>
        <v>0</v>
      </c>
      <c r="BC231" s="208">
        <f t="shared" si="200"/>
        <v>37</v>
      </c>
      <c r="BD231" s="209">
        <f t="shared" si="200"/>
        <v>74</v>
      </c>
      <c r="BE231" s="210">
        <f t="shared" si="201"/>
        <v>13</v>
      </c>
      <c r="BF231" s="211">
        <f t="shared" si="201"/>
        <v>26</v>
      </c>
      <c r="BG231" s="212">
        <f t="shared" si="202"/>
        <v>50</v>
      </c>
      <c r="BH231" s="213">
        <f t="shared" si="202"/>
        <v>100</v>
      </c>
    </row>
    <row r="232" spans="1:60" ht="21" x14ac:dyDescent="0.3">
      <c r="A232" s="214" t="s">
        <v>897</v>
      </c>
      <c r="B232" s="306">
        <v>10</v>
      </c>
      <c r="C232" s="180">
        <v>14</v>
      </c>
      <c r="D232" s="215" t="s">
        <v>58</v>
      </c>
      <c r="E232" s="182" t="s">
        <v>954</v>
      </c>
      <c r="F232" s="183" t="s">
        <v>844</v>
      </c>
      <c r="G232" s="216" t="s">
        <v>955</v>
      </c>
      <c r="H232" s="217" t="s">
        <v>956</v>
      </c>
      <c r="I232" s="217" t="s">
        <v>957</v>
      </c>
      <c r="J232" s="218">
        <v>45886.041666666664</v>
      </c>
      <c r="K232" s="223">
        <f t="shared" si="185"/>
        <v>1.1493055555547471</v>
      </c>
      <c r="L232" s="222">
        <v>0.53819444443797693</v>
      </c>
      <c r="M232" s="189">
        <f t="shared" si="186"/>
        <v>0.61111111111677019</v>
      </c>
      <c r="N232" s="189">
        <f t="shared" si="187"/>
        <v>1.3298611111094942</v>
      </c>
      <c r="O232" s="190">
        <f t="shared" si="188"/>
        <v>41.795454545067507</v>
      </c>
      <c r="P232" s="190">
        <f t="shared" si="189"/>
        <v>22.223564954698414</v>
      </c>
      <c r="Q232" s="191">
        <f t="shared" si="190"/>
        <v>19.206266318561209</v>
      </c>
      <c r="R232" s="192" t="s">
        <v>57</v>
      </c>
      <c r="S232" s="193">
        <v>178</v>
      </c>
      <c r="T232" s="194">
        <v>0</v>
      </c>
      <c r="U232" s="195">
        <v>121</v>
      </c>
      <c r="V232" s="196">
        <v>5</v>
      </c>
      <c r="W232" s="219">
        <v>0</v>
      </c>
      <c r="X232" s="220">
        <v>0</v>
      </c>
      <c r="Y232" s="199">
        <f t="shared" si="203"/>
        <v>304</v>
      </c>
      <c r="Z232" s="200">
        <f t="shared" si="192"/>
        <v>430</v>
      </c>
      <c r="AA232" s="193">
        <v>87</v>
      </c>
      <c r="AB232" s="194">
        <v>150</v>
      </c>
      <c r="AC232" s="195">
        <v>72</v>
      </c>
      <c r="AD232" s="201">
        <v>0</v>
      </c>
      <c r="AE232" s="221">
        <v>0</v>
      </c>
      <c r="AF232" s="220">
        <v>0</v>
      </c>
      <c r="AG232" s="199">
        <f t="shared" si="193"/>
        <v>309</v>
      </c>
      <c r="AH232" s="200">
        <f t="shared" si="194"/>
        <v>381</v>
      </c>
      <c r="AI232" s="203">
        <f t="shared" si="195"/>
        <v>613</v>
      </c>
      <c r="AJ232" s="204">
        <f t="shared" si="195"/>
        <v>811</v>
      </c>
      <c r="AK232" s="193">
        <v>0</v>
      </c>
      <c r="AL232" s="194">
        <v>0</v>
      </c>
      <c r="AM232" s="195">
        <v>0</v>
      </c>
      <c r="AN232" s="196">
        <v>0</v>
      </c>
      <c r="AO232" s="219">
        <v>0</v>
      </c>
      <c r="AP232" s="220">
        <v>0</v>
      </c>
      <c r="AQ232" s="205">
        <f t="shared" si="196"/>
        <v>0</v>
      </c>
      <c r="AR232" s="206">
        <f t="shared" si="197"/>
        <v>0</v>
      </c>
      <c r="AS232" s="193">
        <v>0</v>
      </c>
      <c r="AT232" s="194">
        <v>0</v>
      </c>
      <c r="AU232" s="195">
        <v>0</v>
      </c>
      <c r="AV232" s="196">
        <v>0</v>
      </c>
      <c r="AW232" s="219">
        <v>0</v>
      </c>
      <c r="AX232" s="220">
        <v>0</v>
      </c>
      <c r="AY232" s="205">
        <f t="shared" si="198"/>
        <v>0</v>
      </c>
      <c r="AZ232" s="206">
        <f t="shared" si="175"/>
        <v>0</v>
      </c>
      <c r="BA232" s="207">
        <f t="shared" si="199"/>
        <v>0</v>
      </c>
      <c r="BB232" s="204">
        <f t="shared" si="199"/>
        <v>0</v>
      </c>
      <c r="BC232" s="208">
        <f t="shared" si="200"/>
        <v>304</v>
      </c>
      <c r="BD232" s="209">
        <f t="shared" si="200"/>
        <v>430</v>
      </c>
      <c r="BE232" s="210">
        <f t="shared" si="201"/>
        <v>309</v>
      </c>
      <c r="BF232" s="211">
        <f t="shared" si="201"/>
        <v>381</v>
      </c>
      <c r="BG232" s="212">
        <f t="shared" si="202"/>
        <v>613</v>
      </c>
      <c r="BH232" s="213">
        <f t="shared" si="202"/>
        <v>811</v>
      </c>
    </row>
    <row r="233" spans="1:60" ht="21" x14ac:dyDescent="0.3">
      <c r="A233" s="214" t="s">
        <v>897</v>
      </c>
      <c r="B233" s="306">
        <v>5</v>
      </c>
      <c r="C233" s="180">
        <v>15</v>
      </c>
      <c r="D233" s="215" t="s">
        <v>65</v>
      </c>
      <c r="E233" s="182" t="s">
        <v>958</v>
      </c>
      <c r="F233" s="183" t="s">
        <v>959</v>
      </c>
      <c r="G233" s="216" t="s">
        <v>960</v>
      </c>
      <c r="H233" s="217" t="s">
        <v>961</v>
      </c>
      <c r="I233" s="217" t="s">
        <v>962</v>
      </c>
      <c r="J233" s="218">
        <v>45887.270833333336</v>
      </c>
      <c r="K233" s="223">
        <f t="shared" si="185"/>
        <v>0.43055555555474712</v>
      </c>
      <c r="L233" s="222">
        <v>4.1666666664241347E-2</v>
      </c>
      <c r="M233" s="189">
        <f t="shared" si="186"/>
        <v>0.38888888889050577</v>
      </c>
      <c r="N233" s="189">
        <f t="shared" si="187"/>
        <v>0.47916666667151731</v>
      </c>
      <c r="O233" s="190">
        <f t="shared" si="188"/>
        <v>58.178571428329541</v>
      </c>
      <c r="P233" s="190">
        <f t="shared" si="189"/>
        <v>52.548387096872858</v>
      </c>
      <c r="Q233" s="191">
        <f t="shared" si="190"/>
        <v>47.217391303869839</v>
      </c>
      <c r="R233" s="192" t="s">
        <v>71</v>
      </c>
      <c r="S233" s="193">
        <v>118</v>
      </c>
      <c r="T233" s="194">
        <v>2</v>
      </c>
      <c r="U233" s="195">
        <v>156</v>
      </c>
      <c r="V233" s="196">
        <v>17</v>
      </c>
      <c r="W233" s="219">
        <v>0</v>
      </c>
      <c r="X233" s="220">
        <v>3</v>
      </c>
      <c r="Y233" s="199">
        <f t="shared" si="203"/>
        <v>296</v>
      </c>
      <c r="Z233" s="200">
        <f t="shared" si="192"/>
        <v>472</v>
      </c>
      <c r="AA233" s="193">
        <v>72</v>
      </c>
      <c r="AB233" s="194">
        <v>22</v>
      </c>
      <c r="AC233" s="195">
        <v>138</v>
      </c>
      <c r="AD233" s="201">
        <v>11</v>
      </c>
      <c r="AE233" s="221">
        <v>0</v>
      </c>
      <c r="AF233" s="220">
        <v>4</v>
      </c>
      <c r="AG233" s="199">
        <f t="shared" si="193"/>
        <v>247</v>
      </c>
      <c r="AH233" s="200">
        <f t="shared" si="194"/>
        <v>400</v>
      </c>
      <c r="AI233" s="203">
        <f t="shared" si="195"/>
        <v>543</v>
      </c>
      <c r="AJ233" s="204">
        <f t="shared" si="195"/>
        <v>872</v>
      </c>
      <c r="AK233" s="193">
        <v>0</v>
      </c>
      <c r="AL233" s="194">
        <v>0</v>
      </c>
      <c r="AM233" s="195">
        <v>0</v>
      </c>
      <c r="AN233" s="196">
        <v>0</v>
      </c>
      <c r="AO233" s="219">
        <v>0</v>
      </c>
      <c r="AP233" s="220">
        <v>0</v>
      </c>
      <c r="AQ233" s="205">
        <f t="shared" si="196"/>
        <v>0</v>
      </c>
      <c r="AR233" s="206">
        <f t="shared" si="197"/>
        <v>0</v>
      </c>
      <c r="AS233" s="193">
        <v>0</v>
      </c>
      <c r="AT233" s="194">
        <v>0</v>
      </c>
      <c r="AU233" s="195">
        <v>0</v>
      </c>
      <c r="AV233" s="196">
        <v>0</v>
      </c>
      <c r="AW233" s="219">
        <v>0</v>
      </c>
      <c r="AX233" s="220">
        <v>0</v>
      </c>
      <c r="AY233" s="205">
        <f t="shared" si="198"/>
        <v>0</v>
      </c>
      <c r="AZ233" s="206">
        <f t="shared" si="175"/>
        <v>0</v>
      </c>
      <c r="BA233" s="207">
        <f t="shared" si="199"/>
        <v>0</v>
      </c>
      <c r="BB233" s="204">
        <f t="shared" si="199"/>
        <v>0</v>
      </c>
      <c r="BC233" s="208">
        <f t="shared" si="200"/>
        <v>296</v>
      </c>
      <c r="BD233" s="209">
        <f t="shared" si="200"/>
        <v>472</v>
      </c>
      <c r="BE233" s="210">
        <f t="shared" si="201"/>
        <v>247</v>
      </c>
      <c r="BF233" s="211">
        <f t="shared" si="201"/>
        <v>400</v>
      </c>
      <c r="BG233" s="212">
        <f t="shared" si="202"/>
        <v>543</v>
      </c>
      <c r="BH233" s="213">
        <f t="shared" si="202"/>
        <v>872</v>
      </c>
    </row>
    <row r="234" spans="1:60" ht="21" x14ac:dyDescent="0.3">
      <c r="A234" s="214" t="s">
        <v>897</v>
      </c>
      <c r="B234" s="306">
        <v>11</v>
      </c>
      <c r="C234" s="180">
        <v>16</v>
      </c>
      <c r="D234" s="215" t="s">
        <v>655</v>
      </c>
      <c r="E234" s="182" t="s">
        <v>963</v>
      </c>
      <c r="F234" s="183" t="s">
        <v>964</v>
      </c>
      <c r="G234" s="216" t="s">
        <v>965</v>
      </c>
      <c r="H234" s="217" t="s">
        <v>966</v>
      </c>
      <c r="I234" s="217" t="s">
        <v>967</v>
      </c>
      <c r="J234" s="218">
        <v>45889.5</v>
      </c>
      <c r="K234" s="223">
        <f t="shared" si="185"/>
        <v>0.18055555555474712</v>
      </c>
      <c r="L234" s="222">
        <v>0</v>
      </c>
      <c r="M234" s="189">
        <f t="shared" si="186"/>
        <v>0.18055555555474712</v>
      </c>
      <c r="N234" s="189">
        <f t="shared" si="187"/>
        <v>0.46875</v>
      </c>
      <c r="O234" s="190">
        <f t="shared" si="188"/>
        <v>14.307692307756371</v>
      </c>
      <c r="P234" s="190">
        <f t="shared" si="189"/>
        <v>14.307692307756371</v>
      </c>
      <c r="Q234" s="191">
        <f t="shared" si="190"/>
        <v>5.511111111111112</v>
      </c>
      <c r="R234" s="192" t="s">
        <v>57</v>
      </c>
      <c r="S234" s="193">
        <v>0</v>
      </c>
      <c r="T234" s="194">
        <v>0</v>
      </c>
      <c r="U234" s="195">
        <v>19</v>
      </c>
      <c r="V234" s="196">
        <v>0</v>
      </c>
      <c r="W234" s="219">
        <v>0</v>
      </c>
      <c r="X234" s="220">
        <v>0</v>
      </c>
      <c r="Y234" s="199">
        <f t="shared" si="203"/>
        <v>19</v>
      </c>
      <c r="Z234" s="200">
        <f t="shared" si="192"/>
        <v>38</v>
      </c>
      <c r="AA234" s="193">
        <v>0</v>
      </c>
      <c r="AB234" s="194">
        <v>5</v>
      </c>
      <c r="AC234" s="195">
        <v>38</v>
      </c>
      <c r="AD234" s="201">
        <v>0</v>
      </c>
      <c r="AE234" s="221">
        <v>0</v>
      </c>
      <c r="AF234" s="220">
        <v>0</v>
      </c>
      <c r="AG234" s="199">
        <f t="shared" si="193"/>
        <v>43</v>
      </c>
      <c r="AH234" s="200">
        <f t="shared" si="194"/>
        <v>81</v>
      </c>
      <c r="AI234" s="203">
        <f t="shared" si="195"/>
        <v>62</v>
      </c>
      <c r="AJ234" s="204">
        <f t="shared" si="195"/>
        <v>119</v>
      </c>
      <c r="AK234" s="193">
        <v>0</v>
      </c>
      <c r="AL234" s="194">
        <v>0</v>
      </c>
      <c r="AM234" s="195">
        <v>0</v>
      </c>
      <c r="AN234" s="196">
        <v>0</v>
      </c>
      <c r="AO234" s="219">
        <v>0</v>
      </c>
      <c r="AP234" s="220">
        <v>0</v>
      </c>
      <c r="AQ234" s="205">
        <f t="shared" si="196"/>
        <v>0</v>
      </c>
      <c r="AR234" s="206">
        <f t="shared" si="197"/>
        <v>0</v>
      </c>
      <c r="AS234" s="193">
        <v>0</v>
      </c>
      <c r="AT234" s="194">
        <v>0</v>
      </c>
      <c r="AU234" s="195">
        <v>0</v>
      </c>
      <c r="AV234" s="196">
        <v>0</v>
      </c>
      <c r="AW234" s="219">
        <v>0</v>
      </c>
      <c r="AX234" s="220">
        <v>0</v>
      </c>
      <c r="AY234" s="205">
        <f t="shared" si="198"/>
        <v>0</v>
      </c>
      <c r="AZ234" s="206">
        <f t="shared" si="175"/>
        <v>0</v>
      </c>
      <c r="BA234" s="207">
        <f t="shared" si="199"/>
        <v>0</v>
      </c>
      <c r="BB234" s="204">
        <f t="shared" si="199"/>
        <v>0</v>
      </c>
      <c r="BC234" s="208">
        <f t="shared" si="200"/>
        <v>19</v>
      </c>
      <c r="BD234" s="209">
        <f t="shared" si="200"/>
        <v>38</v>
      </c>
      <c r="BE234" s="210">
        <f t="shared" si="201"/>
        <v>43</v>
      </c>
      <c r="BF234" s="211">
        <f t="shared" si="201"/>
        <v>81</v>
      </c>
      <c r="BG234" s="212">
        <f t="shared" si="202"/>
        <v>62</v>
      </c>
      <c r="BH234" s="213">
        <f t="shared" si="202"/>
        <v>119</v>
      </c>
    </row>
    <row r="235" spans="1:60" ht="21" x14ac:dyDescent="0.3">
      <c r="A235" s="214" t="s">
        <v>897</v>
      </c>
      <c r="B235" s="306">
        <v>12</v>
      </c>
      <c r="C235" s="180">
        <v>17</v>
      </c>
      <c r="D235" s="215" t="s">
        <v>51</v>
      </c>
      <c r="E235" s="182" t="s">
        <v>968</v>
      </c>
      <c r="F235" s="183" t="s">
        <v>929</v>
      </c>
      <c r="G235" s="216" t="s">
        <v>969</v>
      </c>
      <c r="H235" s="217" t="s">
        <v>970</v>
      </c>
      <c r="I235" s="217" t="s">
        <v>971</v>
      </c>
      <c r="J235" s="218">
        <v>45889.895833333336</v>
      </c>
      <c r="K235" s="223">
        <f t="shared" si="185"/>
        <v>0.70486111110949423</v>
      </c>
      <c r="L235" s="222">
        <v>0.15625</v>
      </c>
      <c r="M235" s="189">
        <f t="shared" si="186"/>
        <v>0.54861111110949423</v>
      </c>
      <c r="N235" s="189">
        <f t="shared" si="187"/>
        <v>0.91666666667151731</v>
      </c>
      <c r="O235" s="190">
        <f t="shared" si="188"/>
        <v>47.164556962164319</v>
      </c>
      <c r="P235" s="190">
        <f t="shared" si="189"/>
        <v>36.709359605995537</v>
      </c>
      <c r="Q235" s="191">
        <f t="shared" si="190"/>
        <v>28.22727272712336</v>
      </c>
      <c r="R235" s="192" t="s">
        <v>57</v>
      </c>
      <c r="S235" s="193">
        <v>153</v>
      </c>
      <c r="T235" s="194">
        <v>2</v>
      </c>
      <c r="U235" s="195">
        <v>131</v>
      </c>
      <c r="V235" s="196">
        <v>22</v>
      </c>
      <c r="W235" s="219">
        <v>0</v>
      </c>
      <c r="X235" s="220">
        <v>1</v>
      </c>
      <c r="Y235" s="199">
        <f t="shared" si="203"/>
        <v>309</v>
      </c>
      <c r="Z235" s="200">
        <f t="shared" si="192"/>
        <v>463</v>
      </c>
      <c r="AA235" s="193">
        <v>92</v>
      </c>
      <c r="AB235" s="194">
        <v>0</v>
      </c>
      <c r="AC235" s="195">
        <v>108</v>
      </c>
      <c r="AD235" s="201">
        <v>85</v>
      </c>
      <c r="AE235" s="221">
        <v>0</v>
      </c>
      <c r="AF235" s="220">
        <v>27</v>
      </c>
      <c r="AG235" s="199">
        <f t="shared" si="193"/>
        <v>312</v>
      </c>
      <c r="AH235" s="200">
        <f t="shared" si="194"/>
        <v>532</v>
      </c>
      <c r="AI235" s="203">
        <f t="shared" ref="AI235:AJ262" si="204">Y235+AG235</f>
        <v>621</v>
      </c>
      <c r="AJ235" s="204">
        <f t="shared" si="204"/>
        <v>995</v>
      </c>
      <c r="AK235" s="193">
        <v>0</v>
      </c>
      <c r="AL235" s="194">
        <v>0</v>
      </c>
      <c r="AM235" s="195">
        <v>0</v>
      </c>
      <c r="AN235" s="196">
        <v>0</v>
      </c>
      <c r="AO235" s="219">
        <v>0</v>
      </c>
      <c r="AP235" s="220">
        <v>0</v>
      </c>
      <c r="AQ235" s="205">
        <f t="shared" si="196"/>
        <v>0</v>
      </c>
      <c r="AR235" s="206">
        <f t="shared" si="197"/>
        <v>0</v>
      </c>
      <c r="AS235" s="193">
        <v>0</v>
      </c>
      <c r="AT235" s="194">
        <v>0</v>
      </c>
      <c r="AU235" s="195">
        <v>0</v>
      </c>
      <c r="AV235" s="196">
        <v>0</v>
      </c>
      <c r="AW235" s="219">
        <v>0</v>
      </c>
      <c r="AX235" s="220">
        <v>0</v>
      </c>
      <c r="AY235" s="205">
        <f t="shared" si="198"/>
        <v>0</v>
      </c>
      <c r="AZ235" s="206">
        <f t="shared" si="175"/>
        <v>0</v>
      </c>
      <c r="BA235" s="207">
        <f t="shared" ref="BA235:BB262" si="205">AQ235+AY235</f>
        <v>0</v>
      </c>
      <c r="BB235" s="204">
        <f t="shared" si="205"/>
        <v>0</v>
      </c>
      <c r="BC235" s="208">
        <f t="shared" ref="BC235:BD262" si="206">Y235+AQ235</f>
        <v>309</v>
      </c>
      <c r="BD235" s="209">
        <f t="shared" si="206"/>
        <v>463</v>
      </c>
      <c r="BE235" s="210">
        <f t="shared" ref="BE235:BF262" si="207">AG235+AY235</f>
        <v>312</v>
      </c>
      <c r="BF235" s="211">
        <f t="shared" si="207"/>
        <v>532</v>
      </c>
      <c r="BG235" s="212">
        <f t="shared" ref="BG235:BH262" si="208">BC235+BE235</f>
        <v>621</v>
      </c>
      <c r="BH235" s="213">
        <f t="shared" si="208"/>
        <v>995</v>
      </c>
    </row>
    <row r="236" spans="1:60" ht="21" x14ac:dyDescent="0.3">
      <c r="A236" s="214" t="s">
        <v>897</v>
      </c>
      <c r="B236" s="306">
        <v>13</v>
      </c>
      <c r="C236" s="180">
        <v>18</v>
      </c>
      <c r="D236" s="215" t="s">
        <v>72</v>
      </c>
      <c r="E236" s="182" t="s">
        <v>972</v>
      </c>
      <c r="F236" s="183" t="s">
        <v>819</v>
      </c>
      <c r="G236" s="216" t="s">
        <v>973</v>
      </c>
      <c r="H236" s="217" t="s">
        <v>974</v>
      </c>
      <c r="I236" s="217" t="s">
        <v>975</v>
      </c>
      <c r="J236" s="218">
        <v>45889.916666666664</v>
      </c>
      <c r="K236" s="223">
        <f t="shared" si="185"/>
        <v>0.58958333333430346</v>
      </c>
      <c r="L236" s="222">
        <v>0.15625000000727596</v>
      </c>
      <c r="M236" s="189">
        <f t="shared" si="186"/>
        <v>0.4333333333270275</v>
      </c>
      <c r="N236" s="189">
        <f t="shared" si="187"/>
        <v>0.64930555555474712</v>
      </c>
      <c r="O236" s="190">
        <f t="shared" si="188"/>
        <v>30.769230769678519</v>
      </c>
      <c r="P236" s="190">
        <f t="shared" si="189"/>
        <v>22.614840989362079</v>
      </c>
      <c r="Q236" s="191">
        <f t="shared" si="190"/>
        <v>20.534759358314336</v>
      </c>
      <c r="R236" s="192" t="s">
        <v>57</v>
      </c>
      <c r="S236" s="193">
        <v>66</v>
      </c>
      <c r="T236" s="194">
        <v>2</v>
      </c>
      <c r="U236" s="195">
        <v>24</v>
      </c>
      <c r="V236" s="196">
        <v>0</v>
      </c>
      <c r="W236" s="219">
        <v>0</v>
      </c>
      <c r="X236" s="220">
        <v>0</v>
      </c>
      <c r="Y236" s="199">
        <f t="shared" si="203"/>
        <v>92</v>
      </c>
      <c r="Z236" s="200">
        <f t="shared" si="192"/>
        <v>116</v>
      </c>
      <c r="AA236" s="193">
        <v>60</v>
      </c>
      <c r="AB236" s="194">
        <v>1</v>
      </c>
      <c r="AC236" s="195">
        <v>53</v>
      </c>
      <c r="AD236" s="201">
        <v>50</v>
      </c>
      <c r="AE236" s="221">
        <v>0</v>
      </c>
      <c r="AF236" s="220">
        <v>0</v>
      </c>
      <c r="AG236" s="199">
        <f t="shared" si="193"/>
        <v>164</v>
      </c>
      <c r="AH236" s="200">
        <f t="shared" si="194"/>
        <v>267</v>
      </c>
      <c r="AI236" s="203">
        <f t="shared" si="204"/>
        <v>256</v>
      </c>
      <c r="AJ236" s="204">
        <f t="shared" si="204"/>
        <v>383</v>
      </c>
      <c r="AK236" s="193">
        <v>0</v>
      </c>
      <c r="AL236" s="194">
        <v>0</v>
      </c>
      <c r="AM236" s="195">
        <v>32</v>
      </c>
      <c r="AN236" s="196">
        <v>0</v>
      </c>
      <c r="AO236" s="219">
        <v>0</v>
      </c>
      <c r="AP236" s="220">
        <v>0</v>
      </c>
      <c r="AQ236" s="205">
        <f t="shared" si="196"/>
        <v>32</v>
      </c>
      <c r="AR236" s="206">
        <f t="shared" si="197"/>
        <v>64</v>
      </c>
      <c r="AS236" s="193">
        <v>0</v>
      </c>
      <c r="AT236" s="194">
        <v>0</v>
      </c>
      <c r="AU236" s="195">
        <v>32</v>
      </c>
      <c r="AV236" s="196">
        <v>0</v>
      </c>
      <c r="AW236" s="219">
        <v>0</v>
      </c>
      <c r="AX236" s="220">
        <v>0</v>
      </c>
      <c r="AY236" s="205">
        <f t="shared" si="198"/>
        <v>32</v>
      </c>
      <c r="AZ236" s="206">
        <f t="shared" si="175"/>
        <v>64</v>
      </c>
      <c r="BA236" s="207">
        <f t="shared" si="205"/>
        <v>64</v>
      </c>
      <c r="BB236" s="204">
        <f t="shared" si="205"/>
        <v>128</v>
      </c>
      <c r="BC236" s="208">
        <f t="shared" si="206"/>
        <v>124</v>
      </c>
      <c r="BD236" s="209">
        <f t="shared" si="206"/>
        <v>180</v>
      </c>
      <c r="BE236" s="210">
        <f t="shared" si="207"/>
        <v>196</v>
      </c>
      <c r="BF236" s="211">
        <f t="shared" si="207"/>
        <v>331</v>
      </c>
      <c r="BG236" s="212">
        <f t="shared" si="208"/>
        <v>320</v>
      </c>
      <c r="BH236" s="213">
        <f t="shared" si="208"/>
        <v>511</v>
      </c>
    </row>
    <row r="237" spans="1:60" ht="21" x14ac:dyDescent="0.3">
      <c r="A237" s="214" t="s">
        <v>897</v>
      </c>
      <c r="B237" s="306">
        <v>6</v>
      </c>
      <c r="C237" s="180">
        <v>19</v>
      </c>
      <c r="D237" s="215" t="s">
        <v>79</v>
      </c>
      <c r="E237" s="182" t="s">
        <v>976</v>
      </c>
      <c r="F237" s="183" t="s">
        <v>959</v>
      </c>
      <c r="G237" s="216" t="s">
        <v>977</v>
      </c>
      <c r="H237" s="217" t="s">
        <v>978</v>
      </c>
      <c r="I237" s="217" t="s">
        <v>979</v>
      </c>
      <c r="J237" s="218">
        <v>45890.458333333336</v>
      </c>
      <c r="K237" s="223">
        <f t="shared" si="185"/>
        <v>0.45416666666278616</v>
      </c>
      <c r="L237" s="222">
        <v>0</v>
      </c>
      <c r="M237" s="189">
        <f t="shared" si="186"/>
        <v>0.45416666666278616</v>
      </c>
      <c r="N237" s="189">
        <f t="shared" si="187"/>
        <v>0.48958333333575865</v>
      </c>
      <c r="O237" s="190">
        <f t="shared" si="188"/>
        <v>52.935779816966061</v>
      </c>
      <c r="P237" s="190">
        <f t="shared" si="189"/>
        <v>52.935779816966061</v>
      </c>
      <c r="Q237" s="191">
        <f t="shared" si="190"/>
        <v>49.106382978480134</v>
      </c>
      <c r="R237" s="192" t="s">
        <v>71</v>
      </c>
      <c r="S237" s="193">
        <v>107</v>
      </c>
      <c r="T237" s="194">
        <v>0</v>
      </c>
      <c r="U237" s="195">
        <v>165</v>
      </c>
      <c r="V237" s="196">
        <v>14</v>
      </c>
      <c r="W237" s="219">
        <v>0</v>
      </c>
      <c r="X237" s="220">
        <v>2</v>
      </c>
      <c r="Y237" s="199">
        <f t="shared" si="203"/>
        <v>288</v>
      </c>
      <c r="Z237" s="200">
        <f t="shared" si="192"/>
        <v>469</v>
      </c>
      <c r="AA237" s="193">
        <v>85</v>
      </c>
      <c r="AB237" s="194">
        <v>33</v>
      </c>
      <c r="AC237" s="195">
        <v>137</v>
      </c>
      <c r="AD237" s="201">
        <v>30</v>
      </c>
      <c r="AE237" s="221">
        <v>0</v>
      </c>
      <c r="AF237" s="220">
        <v>4</v>
      </c>
      <c r="AG237" s="199">
        <f t="shared" si="193"/>
        <v>289</v>
      </c>
      <c r="AH237" s="200">
        <f t="shared" si="194"/>
        <v>460</v>
      </c>
      <c r="AI237" s="203">
        <f t="shared" si="204"/>
        <v>577</v>
      </c>
      <c r="AJ237" s="204">
        <f t="shared" si="204"/>
        <v>929</v>
      </c>
      <c r="AK237" s="193">
        <v>0</v>
      </c>
      <c r="AL237" s="194">
        <v>0</v>
      </c>
      <c r="AM237" s="195">
        <v>0</v>
      </c>
      <c r="AN237" s="196">
        <v>0</v>
      </c>
      <c r="AO237" s="219">
        <v>0</v>
      </c>
      <c r="AP237" s="220">
        <v>0</v>
      </c>
      <c r="AQ237" s="205">
        <f t="shared" si="196"/>
        <v>0</v>
      </c>
      <c r="AR237" s="206">
        <f t="shared" si="197"/>
        <v>0</v>
      </c>
      <c r="AS237" s="193">
        <v>0</v>
      </c>
      <c r="AT237" s="194">
        <v>0</v>
      </c>
      <c r="AU237" s="195">
        <v>0</v>
      </c>
      <c r="AV237" s="196">
        <v>0</v>
      </c>
      <c r="AW237" s="219">
        <v>0</v>
      </c>
      <c r="AX237" s="220">
        <v>0</v>
      </c>
      <c r="AY237" s="205">
        <f t="shared" si="198"/>
        <v>0</v>
      </c>
      <c r="AZ237" s="206">
        <f t="shared" si="175"/>
        <v>0</v>
      </c>
      <c r="BA237" s="207">
        <f t="shared" si="205"/>
        <v>0</v>
      </c>
      <c r="BB237" s="204">
        <f t="shared" si="205"/>
        <v>0</v>
      </c>
      <c r="BC237" s="208">
        <f t="shared" si="206"/>
        <v>288</v>
      </c>
      <c r="BD237" s="209">
        <f t="shared" si="206"/>
        <v>469</v>
      </c>
      <c r="BE237" s="210">
        <f t="shared" si="207"/>
        <v>289</v>
      </c>
      <c r="BF237" s="211">
        <f t="shared" si="207"/>
        <v>460</v>
      </c>
      <c r="BG237" s="212">
        <f t="shared" si="208"/>
        <v>577</v>
      </c>
      <c r="BH237" s="213">
        <f t="shared" si="208"/>
        <v>929</v>
      </c>
    </row>
    <row r="238" spans="1:60" ht="21" x14ac:dyDescent="0.3">
      <c r="A238" s="214" t="s">
        <v>897</v>
      </c>
      <c r="B238" s="306">
        <v>14</v>
      </c>
      <c r="C238" s="180">
        <v>20</v>
      </c>
      <c r="D238" s="215" t="s">
        <v>655</v>
      </c>
      <c r="E238" s="182" t="s">
        <v>980</v>
      </c>
      <c r="F238" s="183" t="s">
        <v>981</v>
      </c>
      <c r="G238" s="216" t="s">
        <v>982</v>
      </c>
      <c r="H238" s="217" t="s">
        <v>983</v>
      </c>
      <c r="I238" s="217" t="s">
        <v>984</v>
      </c>
      <c r="J238" s="218">
        <v>45892.482638888891</v>
      </c>
      <c r="K238" s="223">
        <f t="shared" si="185"/>
        <v>0.38402777777810115</v>
      </c>
      <c r="L238" s="222">
        <v>0</v>
      </c>
      <c r="M238" s="189">
        <f t="shared" si="186"/>
        <v>0.38402777777810115</v>
      </c>
      <c r="N238" s="189">
        <f t="shared" si="187"/>
        <v>0.43402777778101154</v>
      </c>
      <c r="O238" s="190">
        <f t="shared" si="188"/>
        <v>16.057866184434939</v>
      </c>
      <c r="P238" s="190">
        <f t="shared" si="189"/>
        <v>16.057866184434939</v>
      </c>
      <c r="Q238" s="191">
        <f t="shared" si="190"/>
        <v>14.207999999894142</v>
      </c>
      <c r="R238" s="192" t="s">
        <v>57</v>
      </c>
      <c r="S238" s="193">
        <v>0</v>
      </c>
      <c r="T238" s="194">
        <v>0</v>
      </c>
      <c r="U238" s="195">
        <v>3</v>
      </c>
      <c r="V238" s="196">
        <v>45</v>
      </c>
      <c r="W238" s="219">
        <v>0</v>
      </c>
      <c r="X238" s="220">
        <v>0</v>
      </c>
      <c r="Y238" s="199">
        <f t="shared" si="203"/>
        <v>48</v>
      </c>
      <c r="Z238" s="200">
        <f t="shared" si="192"/>
        <v>96</v>
      </c>
      <c r="AA238" s="193">
        <v>35</v>
      </c>
      <c r="AB238" s="194">
        <v>0</v>
      </c>
      <c r="AC238" s="195">
        <v>65</v>
      </c>
      <c r="AD238" s="201">
        <v>0</v>
      </c>
      <c r="AE238" s="221">
        <v>0</v>
      </c>
      <c r="AF238" s="220">
        <v>0</v>
      </c>
      <c r="AG238" s="199">
        <f t="shared" si="193"/>
        <v>100</v>
      </c>
      <c r="AH238" s="200">
        <f t="shared" si="194"/>
        <v>165</v>
      </c>
      <c r="AI238" s="203">
        <f t="shared" si="204"/>
        <v>148</v>
      </c>
      <c r="AJ238" s="204">
        <f t="shared" si="204"/>
        <v>261</v>
      </c>
      <c r="AK238" s="193">
        <v>0</v>
      </c>
      <c r="AL238" s="194">
        <v>0</v>
      </c>
      <c r="AM238" s="195">
        <v>0</v>
      </c>
      <c r="AN238" s="196">
        <v>0</v>
      </c>
      <c r="AO238" s="219">
        <v>0</v>
      </c>
      <c r="AP238" s="220">
        <v>0</v>
      </c>
      <c r="AQ238" s="205">
        <f t="shared" si="196"/>
        <v>0</v>
      </c>
      <c r="AR238" s="206">
        <f t="shared" si="197"/>
        <v>0</v>
      </c>
      <c r="AS238" s="193">
        <v>0</v>
      </c>
      <c r="AT238" s="194">
        <v>0</v>
      </c>
      <c r="AU238" s="195">
        <v>0</v>
      </c>
      <c r="AV238" s="196">
        <v>0</v>
      </c>
      <c r="AW238" s="219">
        <v>0</v>
      </c>
      <c r="AX238" s="220">
        <v>0</v>
      </c>
      <c r="AY238" s="205">
        <f t="shared" si="198"/>
        <v>0</v>
      </c>
      <c r="AZ238" s="206">
        <f t="shared" si="175"/>
        <v>0</v>
      </c>
      <c r="BA238" s="207">
        <f t="shared" si="205"/>
        <v>0</v>
      </c>
      <c r="BB238" s="204">
        <f t="shared" si="205"/>
        <v>0</v>
      </c>
      <c r="BC238" s="208">
        <f t="shared" si="206"/>
        <v>48</v>
      </c>
      <c r="BD238" s="209">
        <f t="shared" si="206"/>
        <v>96</v>
      </c>
      <c r="BE238" s="210">
        <f t="shared" si="207"/>
        <v>100</v>
      </c>
      <c r="BF238" s="211">
        <f t="shared" si="207"/>
        <v>165</v>
      </c>
      <c r="BG238" s="212">
        <f t="shared" si="208"/>
        <v>148</v>
      </c>
      <c r="BH238" s="213">
        <f t="shared" si="208"/>
        <v>261</v>
      </c>
    </row>
    <row r="239" spans="1:60" ht="21" x14ac:dyDescent="0.3">
      <c r="A239" s="214" t="s">
        <v>897</v>
      </c>
      <c r="B239" s="306">
        <v>15</v>
      </c>
      <c r="C239" s="180">
        <v>21</v>
      </c>
      <c r="D239" s="215" t="s">
        <v>231</v>
      </c>
      <c r="E239" s="182" t="s">
        <v>985</v>
      </c>
      <c r="F239" s="183" t="s">
        <v>844</v>
      </c>
      <c r="G239" s="216" t="s">
        <v>986</v>
      </c>
      <c r="H239" s="217" t="s">
        <v>987</v>
      </c>
      <c r="I239" s="217" t="s">
        <v>988</v>
      </c>
      <c r="J239" s="218">
        <v>45893.270833333336</v>
      </c>
      <c r="K239" s="223">
        <f t="shared" si="185"/>
        <v>0.50694444444525288</v>
      </c>
      <c r="L239" s="222">
        <v>0</v>
      </c>
      <c r="M239" s="189">
        <f t="shared" si="186"/>
        <v>0.50694444444525288</v>
      </c>
      <c r="N239" s="189">
        <f t="shared" si="187"/>
        <v>0.53472222222626442</v>
      </c>
      <c r="O239" s="190">
        <f t="shared" si="188"/>
        <v>48.657534246497754</v>
      </c>
      <c r="P239" s="190">
        <f t="shared" si="189"/>
        <v>48.657534246497754</v>
      </c>
      <c r="Q239" s="191">
        <f t="shared" si="190"/>
        <v>46.129870129521414</v>
      </c>
      <c r="R239" s="192" t="s">
        <v>57</v>
      </c>
      <c r="S239" s="193">
        <v>154</v>
      </c>
      <c r="T239" s="194">
        <v>0</v>
      </c>
      <c r="U239" s="195">
        <v>123</v>
      </c>
      <c r="V239" s="196">
        <v>3</v>
      </c>
      <c r="W239" s="219">
        <v>0</v>
      </c>
      <c r="X239" s="220">
        <v>0</v>
      </c>
      <c r="Y239" s="199">
        <f t="shared" si="203"/>
        <v>280</v>
      </c>
      <c r="Z239" s="200">
        <f t="shared" si="192"/>
        <v>406</v>
      </c>
      <c r="AA239" s="193">
        <v>133</v>
      </c>
      <c r="AB239" s="194">
        <v>0</v>
      </c>
      <c r="AC239" s="195">
        <v>112</v>
      </c>
      <c r="AD239" s="201">
        <v>45</v>
      </c>
      <c r="AE239" s="221">
        <v>0</v>
      </c>
      <c r="AF239" s="220">
        <v>22</v>
      </c>
      <c r="AG239" s="199">
        <f t="shared" si="193"/>
        <v>312</v>
      </c>
      <c r="AH239" s="200">
        <f t="shared" si="194"/>
        <v>491</v>
      </c>
      <c r="AI239" s="203">
        <f t="shared" si="204"/>
        <v>592</v>
      </c>
      <c r="AJ239" s="204">
        <f t="shared" si="204"/>
        <v>897</v>
      </c>
      <c r="AK239" s="193">
        <v>0</v>
      </c>
      <c r="AL239" s="194">
        <v>0</v>
      </c>
      <c r="AM239" s="195">
        <v>0</v>
      </c>
      <c r="AN239" s="196">
        <v>0</v>
      </c>
      <c r="AO239" s="219">
        <v>0</v>
      </c>
      <c r="AP239" s="220">
        <v>0</v>
      </c>
      <c r="AQ239" s="205">
        <f t="shared" si="196"/>
        <v>0</v>
      </c>
      <c r="AR239" s="206">
        <f t="shared" si="197"/>
        <v>0</v>
      </c>
      <c r="AS239" s="193">
        <v>0</v>
      </c>
      <c r="AT239" s="194">
        <v>0</v>
      </c>
      <c r="AU239" s="195">
        <v>0</v>
      </c>
      <c r="AV239" s="196">
        <v>0</v>
      </c>
      <c r="AW239" s="219">
        <v>0</v>
      </c>
      <c r="AX239" s="220">
        <v>0</v>
      </c>
      <c r="AY239" s="205">
        <f t="shared" si="198"/>
        <v>0</v>
      </c>
      <c r="AZ239" s="206">
        <f t="shared" si="175"/>
        <v>0</v>
      </c>
      <c r="BA239" s="207">
        <f t="shared" si="205"/>
        <v>0</v>
      </c>
      <c r="BB239" s="204">
        <f t="shared" si="205"/>
        <v>0</v>
      </c>
      <c r="BC239" s="208">
        <f t="shared" si="206"/>
        <v>280</v>
      </c>
      <c r="BD239" s="209">
        <f t="shared" si="206"/>
        <v>406</v>
      </c>
      <c r="BE239" s="210">
        <f t="shared" si="207"/>
        <v>312</v>
      </c>
      <c r="BF239" s="211">
        <f t="shared" si="207"/>
        <v>491</v>
      </c>
      <c r="BG239" s="212">
        <f t="shared" si="208"/>
        <v>592</v>
      </c>
      <c r="BH239" s="213">
        <f t="shared" si="208"/>
        <v>897</v>
      </c>
    </row>
    <row r="240" spans="1:60" ht="21" x14ac:dyDescent="0.3">
      <c r="A240" s="214" t="s">
        <v>897</v>
      </c>
      <c r="B240" s="306">
        <v>7</v>
      </c>
      <c r="C240" s="180">
        <v>22</v>
      </c>
      <c r="D240" s="215" t="s">
        <v>65</v>
      </c>
      <c r="E240" s="182" t="s">
        <v>989</v>
      </c>
      <c r="F240" s="183" t="s">
        <v>990</v>
      </c>
      <c r="G240" s="216" t="s">
        <v>991</v>
      </c>
      <c r="H240" s="217" t="s">
        <v>992</v>
      </c>
      <c r="I240" s="217" t="s">
        <v>993</v>
      </c>
      <c r="J240" s="218">
        <v>45894.5625</v>
      </c>
      <c r="K240" s="223">
        <f t="shared" si="185"/>
        <v>0.42777777777519077</v>
      </c>
      <c r="L240" s="222">
        <v>6.9444444525288418E-3</v>
      </c>
      <c r="M240" s="189">
        <f t="shared" si="186"/>
        <v>0.42083333332266193</v>
      </c>
      <c r="N240" s="189">
        <f t="shared" si="187"/>
        <v>0.45833333333575865</v>
      </c>
      <c r="O240" s="190">
        <f t="shared" si="188"/>
        <v>58.217821783654493</v>
      </c>
      <c r="P240" s="190">
        <f t="shared" si="189"/>
        <v>57.272727273073635</v>
      </c>
      <c r="Q240" s="191">
        <f t="shared" si="190"/>
        <v>53.454545454262593</v>
      </c>
      <c r="R240" s="192" t="s">
        <v>71</v>
      </c>
      <c r="S240" s="193">
        <v>125</v>
      </c>
      <c r="T240" s="194">
        <v>2</v>
      </c>
      <c r="U240" s="195">
        <v>160</v>
      </c>
      <c r="V240" s="196">
        <v>14</v>
      </c>
      <c r="W240" s="219">
        <v>0</v>
      </c>
      <c r="X240" s="220">
        <v>1</v>
      </c>
      <c r="Y240" s="199">
        <f t="shared" si="203"/>
        <v>302</v>
      </c>
      <c r="Z240" s="200">
        <f t="shared" si="192"/>
        <v>477</v>
      </c>
      <c r="AA240" s="193">
        <v>85</v>
      </c>
      <c r="AB240" s="194">
        <v>29</v>
      </c>
      <c r="AC240" s="195">
        <v>138</v>
      </c>
      <c r="AD240" s="201">
        <v>30</v>
      </c>
      <c r="AE240" s="221">
        <v>0</v>
      </c>
      <c r="AF240" s="220">
        <v>4</v>
      </c>
      <c r="AG240" s="199">
        <f t="shared" si="193"/>
        <v>286</v>
      </c>
      <c r="AH240" s="200">
        <f t="shared" si="194"/>
        <v>458</v>
      </c>
      <c r="AI240" s="203">
        <f t="shared" si="204"/>
        <v>588</v>
      </c>
      <c r="AJ240" s="204">
        <f t="shared" si="204"/>
        <v>935</v>
      </c>
      <c r="AK240" s="193">
        <v>0</v>
      </c>
      <c r="AL240" s="194">
        <v>0</v>
      </c>
      <c r="AM240" s="195">
        <v>0</v>
      </c>
      <c r="AN240" s="196">
        <v>0</v>
      </c>
      <c r="AO240" s="219">
        <v>0</v>
      </c>
      <c r="AP240" s="220">
        <v>0</v>
      </c>
      <c r="AQ240" s="205">
        <f t="shared" si="196"/>
        <v>0</v>
      </c>
      <c r="AR240" s="206">
        <f t="shared" si="197"/>
        <v>0</v>
      </c>
      <c r="AS240" s="193">
        <v>0</v>
      </c>
      <c r="AT240" s="194">
        <v>0</v>
      </c>
      <c r="AU240" s="195">
        <v>0</v>
      </c>
      <c r="AV240" s="196">
        <v>0</v>
      </c>
      <c r="AW240" s="219">
        <v>0</v>
      </c>
      <c r="AX240" s="220">
        <v>0</v>
      </c>
      <c r="AY240" s="205">
        <f t="shared" si="198"/>
        <v>0</v>
      </c>
      <c r="AZ240" s="206">
        <f t="shared" si="175"/>
        <v>0</v>
      </c>
      <c r="BA240" s="207">
        <f t="shared" si="205"/>
        <v>0</v>
      </c>
      <c r="BB240" s="204">
        <f t="shared" si="205"/>
        <v>0</v>
      </c>
      <c r="BC240" s="208">
        <f t="shared" si="206"/>
        <v>302</v>
      </c>
      <c r="BD240" s="209">
        <f t="shared" si="206"/>
        <v>477</v>
      </c>
      <c r="BE240" s="210">
        <f t="shared" si="207"/>
        <v>286</v>
      </c>
      <c r="BF240" s="211">
        <f t="shared" si="207"/>
        <v>458</v>
      </c>
      <c r="BG240" s="212">
        <f t="shared" si="208"/>
        <v>588</v>
      </c>
      <c r="BH240" s="213">
        <f t="shared" si="208"/>
        <v>935</v>
      </c>
    </row>
    <row r="241" spans="1:60" ht="21" x14ac:dyDescent="0.3">
      <c r="A241" s="214" t="s">
        <v>897</v>
      </c>
      <c r="B241" s="306">
        <v>16</v>
      </c>
      <c r="C241" s="180">
        <v>23</v>
      </c>
      <c r="D241" s="215" t="s">
        <v>58</v>
      </c>
      <c r="E241" s="182" t="s">
        <v>994</v>
      </c>
      <c r="F241" s="183" t="s">
        <v>870</v>
      </c>
      <c r="G241" s="216" t="s">
        <v>995</v>
      </c>
      <c r="H241" s="217" t="s">
        <v>996</v>
      </c>
      <c r="I241" s="217" t="s">
        <v>997</v>
      </c>
      <c r="J241" s="218">
        <v>45896.104166666664</v>
      </c>
      <c r="K241" s="223">
        <f t="shared" si="185"/>
        <v>0.91180555555183673</v>
      </c>
      <c r="L241" s="222">
        <v>0.30555555555474712</v>
      </c>
      <c r="M241" s="189">
        <f t="shared" si="186"/>
        <v>0.60624999999708962</v>
      </c>
      <c r="N241" s="189">
        <f t="shared" si="187"/>
        <v>0.96875</v>
      </c>
      <c r="O241" s="190">
        <f t="shared" si="188"/>
        <v>45.017182130800308</v>
      </c>
      <c r="P241" s="190">
        <f t="shared" si="189"/>
        <v>29.93145468405201</v>
      </c>
      <c r="Q241" s="191">
        <f t="shared" si="190"/>
        <v>28.172043010752688</v>
      </c>
      <c r="R241" s="192" t="s">
        <v>57</v>
      </c>
      <c r="S241" s="193">
        <v>134</v>
      </c>
      <c r="T241" s="194">
        <v>2</v>
      </c>
      <c r="U241" s="195">
        <v>162</v>
      </c>
      <c r="V241" s="196">
        <v>10</v>
      </c>
      <c r="W241" s="219">
        <v>0</v>
      </c>
      <c r="X241" s="220">
        <v>0</v>
      </c>
      <c r="Y241" s="199">
        <f t="shared" si="203"/>
        <v>308</v>
      </c>
      <c r="Z241" s="200">
        <f t="shared" si="192"/>
        <v>480</v>
      </c>
      <c r="AA241" s="193">
        <v>82</v>
      </c>
      <c r="AB241" s="194">
        <v>3</v>
      </c>
      <c r="AC241" s="195">
        <v>78</v>
      </c>
      <c r="AD241" s="201">
        <v>20</v>
      </c>
      <c r="AE241" s="221">
        <v>0</v>
      </c>
      <c r="AF241" s="220">
        <v>24</v>
      </c>
      <c r="AG241" s="199">
        <f t="shared" si="193"/>
        <v>207</v>
      </c>
      <c r="AH241" s="200">
        <f t="shared" si="194"/>
        <v>329</v>
      </c>
      <c r="AI241" s="203">
        <f t="shared" si="204"/>
        <v>515</v>
      </c>
      <c r="AJ241" s="204">
        <f t="shared" si="204"/>
        <v>809</v>
      </c>
      <c r="AK241" s="193">
        <v>0</v>
      </c>
      <c r="AL241" s="194">
        <v>0</v>
      </c>
      <c r="AM241" s="195">
        <v>70</v>
      </c>
      <c r="AN241" s="196">
        <v>0</v>
      </c>
      <c r="AO241" s="219">
        <v>0</v>
      </c>
      <c r="AP241" s="220">
        <v>0</v>
      </c>
      <c r="AQ241" s="205">
        <f t="shared" si="196"/>
        <v>70</v>
      </c>
      <c r="AR241" s="206">
        <f t="shared" si="197"/>
        <v>140</v>
      </c>
      <c r="AS241" s="193">
        <v>0</v>
      </c>
      <c r="AT241" s="194">
        <v>0</v>
      </c>
      <c r="AU241" s="195">
        <v>70</v>
      </c>
      <c r="AV241" s="196">
        <v>0</v>
      </c>
      <c r="AW241" s="219">
        <v>0</v>
      </c>
      <c r="AX241" s="220">
        <v>0</v>
      </c>
      <c r="AY241" s="205">
        <f t="shared" si="198"/>
        <v>70</v>
      </c>
      <c r="AZ241" s="206">
        <f t="shared" si="175"/>
        <v>140</v>
      </c>
      <c r="BA241" s="207">
        <f t="shared" si="205"/>
        <v>140</v>
      </c>
      <c r="BB241" s="204">
        <f t="shared" si="205"/>
        <v>280</v>
      </c>
      <c r="BC241" s="208">
        <f t="shared" si="206"/>
        <v>378</v>
      </c>
      <c r="BD241" s="209">
        <f t="shared" si="206"/>
        <v>620</v>
      </c>
      <c r="BE241" s="210">
        <f t="shared" si="207"/>
        <v>277</v>
      </c>
      <c r="BF241" s="211">
        <f t="shared" si="207"/>
        <v>469</v>
      </c>
      <c r="BG241" s="212">
        <f t="shared" si="208"/>
        <v>655</v>
      </c>
      <c r="BH241" s="213">
        <f t="shared" si="208"/>
        <v>1089</v>
      </c>
    </row>
    <row r="242" spans="1:60" ht="21" x14ac:dyDescent="0.3">
      <c r="A242" s="214" t="s">
        <v>897</v>
      </c>
      <c r="B242" s="306">
        <v>17</v>
      </c>
      <c r="C242" s="180">
        <v>24</v>
      </c>
      <c r="D242" s="215" t="s">
        <v>72</v>
      </c>
      <c r="E242" s="182" t="s">
        <v>998</v>
      </c>
      <c r="F242" s="183" t="s">
        <v>844</v>
      </c>
      <c r="G242" s="216" t="s">
        <v>999</v>
      </c>
      <c r="H242" s="217" t="s">
        <v>1000</v>
      </c>
      <c r="I242" s="217" t="s">
        <v>1001</v>
      </c>
      <c r="J242" s="218">
        <v>45896.583333333336</v>
      </c>
      <c r="K242" s="223">
        <f t="shared" si="185"/>
        <v>0.32777777777664596</v>
      </c>
      <c r="L242" s="222">
        <v>0</v>
      </c>
      <c r="M242" s="189">
        <f t="shared" si="186"/>
        <v>0.32777777777664596</v>
      </c>
      <c r="N242" s="189">
        <f t="shared" si="187"/>
        <v>0.375</v>
      </c>
      <c r="O242" s="190">
        <f t="shared" si="188"/>
        <v>23.516949152623578</v>
      </c>
      <c r="P242" s="190">
        <f t="shared" si="189"/>
        <v>23.516949152623578</v>
      </c>
      <c r="Q242" s="191">
        <f t="shared" si="190"/>
        <v>20.555555555555554</v>
      </c>
      <c r="R242" s="192" t="s">
        <v>57</v>
      </c>
      <c r="S242" s="193">
        <v>40</v>
      </c>
      <c r="T242" s="194">
        <v>0</v>
      </c>
      <c r="U242" s="195">
        <v>21</v>
      </c>
      <c r="V242" s="196">
        <v>0</v>
      </c>
      <c r="W242" s="219">
        <v>0</v>
      </c>
      <c r="X242" s="220">
        <v>0</v>
      </c>
      <c r="Y242" s="199">
        <f t="shared" si="203"/>
        <v>61</v>
      </c>
      <c r="Z242" s="200">
        <f t="shared" si="192"/>
        <v>82</v>
      </c>
      <c r="AA242" s="193">
        <v>49</v>
      </c>
      <c r="AB242" s="194">
        <v>9</v>
      </c>
      <c r="AC242" s="195">
        <v>62</v>
      </c>
      <c r="AD242" s="201">
        <v>0</v>
      </c>
      <c r="AE242" s="221">
        <v>0</v>
      </c>
      <c r="AF242" s="220">
        <v>0</v>
      </c>
      <c r="AG242" s="199">
        <f t="shared" si="193"/>
        <v>120</v>
      </c>
      <c r="AH242" s="200">
        <f t="shared" si="194"/>
        <v>182</v>
      </c>
      <c r="AI242" s="203">
        <f t="shared" si="204"/>
        <v>181</v>
      </c>
      <c r="AJ242" s="204">
        <f t="shared" si="204"/>
        <v>264</v>
      </c>
      <c r="AK242" s="193">
        <v>0</v>
      </c>
      <c r="AL242" s="194">
        <v>0</v>
      </c>
      <c r="AM242" s="195">
        <v>2</v>
      </c>
      <c r="AN242" s="196">
        <v>0</v>
      </c>
      <c r="AO242" s="219">
        <v>0</v>
      </c>
      <c r="AP242" s="220">
        <v>0</v>
      </c>
      <c r="AQ242" s="205">
        <f t="shared" si="196"/>
        <v>2</v>
      </c>
      <c r="AR242" s="206">
        <f t="shared" si="197"/>
        <v>4</v>
      </c>
      <c r="AS242" s="193">
        <v>0</v>
      </c>
      <c r="AT242" s="194">
        <v>0</v>
      </c>
      <c r="AU242" s="195">
        <v>2</v>
      </c>
      <c r="AV242" s="196">
        <v>0</v>
      </c>
      <c r="AW242" s="219">
        <v>0</v>
      </c>
      <c r="AX242" s="220">
        <v>0</v>
      </c>
      <c r="AY242" s="205">
        <f t="shared" si="198"/>
        <v>2</v>
      </c>
      <c r="AZ242" s="206">
        <f t="shared" si="175"/>
        <v>4</v>
      </c>
      <c r="BA242" s="207">
        <f t="shared" si="205"/>
        <v>4</v>
      </c>
      <c r="BB242" s="204">
        <f t="shared" si="205"/>
        <v>8</v>
      </c>
      <c r="BC242" s="208">
        <f t="shared" si="206"/>
        <v>63</v>
      </c>
      <c r="BD242" s="209">
        <f t="shared" si="206"/>
        <v>86</v>
      </c>
      <c r="BE242" s="210">
        <f t="shared" si="207"/>
        <v>122</v>
      </c>
      <c r="BF242" s="211">
        <f t="shared" si="207"/>
        <v>186</v>
      </c>
      <c r="BG242" s="212">
        <f t="shared" si="208"/>
        <v>185</v>
      </c>
      <c r="BH242" s="213">
        <f t="shared" si="208"/>
        <v>272</v>
      </c>
    </row>
    <row r="243" spans="1:60" ht="21" x14ac:dyDescent="0.3">
      <c r="A243" s="214" t="s">
        <v>897</v>
      </c>
      <c r="B243" s="306">
        <v>18</v>
      </c>
      <c r="C243" s="180">
        <v>25</v>
      </c>
      <c r="D243" s="215" t="s">
        <v>51</v>
      </c>
      <c r="E243" s="182" t="s">
        <v>1002</v>
      </c>
      <c r="F243" s="183" t="s">
        <v>959</v>
      </c>
      <c r="G243" s="216" t="s">
        <v>1003</v>
      </c>
      <c r="H243" s="217" t="s">
        <v>1004</v>
      </c>
      <c r="I243" s="217" t="s">
        <v>1005</v>
      </c>
      <c r="J243" s="218">
        <v>45898.5</v>
      </c>
      <c r="K243" s="223">
        <f t="shared" si="185"/>
        <v>0.52083333333575865</v>
      </c>
      <c r="L243" s="222">
        <v>0</v>
      </c>
      <c r="M243" s="189">
        <f t="shared" si="186"/>
        <v>0.52083333333575865</v>
      </c>
      <c r="N243" s="189">
        <f t="shared" si="187"/>
        <v>0.55208333333575865</v>
      </c>
      <c r="O243" s="190">
        <f t="shared" si="188"/>
        <v>52.159999999757112</v>
      </c>
      <c r="P243" s="190">
        <f t="shared" si="189"/>
        <v>52.159999999757112</v>
      </c>
      <c r="Q243" s="191">
        <f t="shared" si="190"/>
        <v>49.207547169595152</v>
      </c>
      <c r="R243" s="192" t="s">
        <v>57</v>
      </c>
      <c r="S243" s="193">
        <v>140</v>
      </c>
      <c r="T243" s="194">
        <v>2</v>
      </c>
      <c r="U243" s="195">
        <v>158</v>
      </c>
      <c r="V243" s="196">
        <v>30</v>
      </c>
      <c r="W243" s="219">
        <v>0</v>
      </c>
      <c r="X243" s="220">
        <v>0</v>
      </c>
      <c r="Y243" s="199">
        <f t="shared" si="203"/>
        <v>330</v>
      </c>
      <c r="Z243" s="200">
        <f t="shared" si="192"/>
        <v>518</v>
      </c>
      <c r="AA243" s="193">
        <v>124</v>
      </c>
      <c r="AB243" s="194">
        <v>53</v>
      </c>
      <c r="AC243" s="195">
        <v>103</v>
      </c>
      <c r="AD243" s="201">
        <v>0</v>
      </c>
      <c r="AE243" s="221">
        <v>0</v>
      </c>
      <c r="AF243" s="220">
        <v>42</v>
      </c>
      <c r="AG243" s="199">
        <f t="shared" si="193"/>
        <v>322</v>
      </c>
      <c r="AH243" s="200">
        <f t="shared" si="194"/>
        <v>467</v>
      </c>
      <c r="AI243" s="203">
        <f t="shared" si="204"/>
        <v>652</v>
      </c>
      <c r="AJ243" s="204">
        <f t="shared" si="204"/>
        <v>985</v>
      </c>
      <c r="AK243" s="193">
        <v>0</v>
      </c>
      <c r="AL243" s="194">
        <v>0</v>
      </c>
      <c r="AM243" s="195">
        <v>0</v>
      </c>
      <c r="AN243" s="196">
        <v>0</v>
      </c>
      <c r="AO243" s="219">
        <v>0</v>
      </c>
      <c r="AP243" s="220">
        <v>0</v>
      </c>
      <c r="AQ243" s="205">
        <f t="shared" si="196"/>
        <v>0</v>
      </c>
      <c r="AR243" s="206">
        <f t="shared" si="197"/>
        <v>0</v>
      </c>
      <c r="AS243" s="193">
        <v>0</v>
      </c>
      <c r="AT243" s="194">
        <v>0</v>
      </c>
      <c r="AU243" s="195">
        <v>0</v>
      </c>
      <c r="AV243" s="196">
        <v>0</v>
      </c>
      <c r="AW243" s="219">
        <v>0</v>
      </c>
      <c r="AX243" s="220">
        <v>0</v>
      </c>
      <c r="AY243" s="205">
        <f t="shared" si="198"/>
        <v>0</v>
      </c>
      <c r="AZ243" s="206">
        <f t="shared" si="175"/>
        <v>0</v>
      </c>
      <c r="BA243" s="207">
        <f t="shared" si="205"/>
        <v>0</v>
      </c>
      <c r="BB243" s="204">
        <f t="shared" si="205"/>
        <v>0</v>
      </c>
      <c r="BC243" s="208">
        <f t="shared" si="206"/>
        <v>330</v>
      </c>
      <c r="BD243" s="209">
        <f t="shared" si="206"/>
        <v>518</v>
      </c>
      <c r="BE243" s="210">
        <f t="shared" si="207"/>
        <v>322</v>
      </c>
      <c r="BF243" s="211">
        <f t="shared" si="207"/>
        <v>467</v>
      </c>
      <c r="BG243" s="212">
        <f t="shared" si="208"/>
        <v>652</v>
      </c>
      <c r="BH243" s="213">
        <f t="shared" si="208"/>
        <v>985</v>
      </c>
    </row>
    <row r="244" spans="1:60" ht="21.6" thickBot="1" x14ac:dyDescent="0.35">
      <c r="A244" s="214" t="s">
        <v>897</v>
      </c>
      <c r="B244" s="306">
        <v>19</v>
      </c>
      <c r="C244" s="180">
        <v>26</v>
      </c>
      <c r="D244" s="215" t="s">
        <v>231</v>
      </c>
      <c r="E244" s="182" t="s">
        <v>1006</v>
      </c>
      <c r="F244" s="183" t="s">
        <v>870</v>
      </c>
      <c r="G244" s="216" t="s">
        <v>1007</v>
      </c>
      <c r="H244" s="217" t="s">
        <v>1008</v>
      </c>
      <c r="I244" s="217">
        <v>45900.679861111108</v>
      </c>
      <c r="J244" s="218">
        <v>45900.708333333336</v>
      </c>
      <c r="K244" s="223">
        <f t="shared" si="185"/>
        <v>0.46805555555329192</v>
      </c>
      <c r="L244" s="222">
        <v>0</v>
      </c>
      <c r="M244" s="189">
        <f t="shared" si="186"/>
        <v>0.46805555555329192</v>
      </c>
      <c r="N244" s="189">
        <f t="shared" si="187"/>
        <v>0.51736111111677019</v>
      </c>
      <c r="O244" s="190">
        <f t="shared" si="188"/>
        <v>49.940652819232618</v>
      </c>
      <c r="P244" s="190">
        <f t="shared" si="189"/>
        <v>49.940652819232618</v>
      </c>
      <c r="Q244" s="191">
        <f t="shared" si="190"/>
        <v>45.181208053197061</v>
      </c>
      <c r="R244" s="192" t="s">
        <v>57</v>
      </c>
      <c r="S244" s="193">
        <v>148</v>
      </c>
      <c r="T244" s="194">
        <v>0</v>
      </c>
      <c r="U244" s="195">
        <v>121</v>
      </c>
      <c r="V244" s="196">
        <v>2</v>
      </c>
      <c r="W244" s="219">
        <v>0</v>
      </c>
      <c r="X244" s="220">
        <v>0</v>
      </c>
      <c r="Y244" s="199">
        <f t="shared" si="203"/>
        <v>271</v>
      </c>
      <c r="Z244" s="200">
        <f t="shared" si="192"/>
        <v>394</v>
      </c>
      <c r="AA244" s="193">
        <v>152</v>
      </c>
      <c r="AB244" s="194">
        <v>0</v>
      </c>
      <c r="AC244" s="195">
        <v>125</v>
      </c>
      <c r="AD244" s="201">
        <v>0</v>
      </c>
      <c r="AE244" s="221">
        <v>0</v>
      </c>
      <c r="AF244" s="220">
        <v>13</v>
      </c>
      <c r="AG244" s="199">
        <f t="shared" si="193"/>
        <v>290</v>
      </c>
      <c r="AH244" s="200">
        <f t="shared" si="194"/>
        <v>428</v>
      </c>
      <c r="AI244" s="203">
        <f t="shared" si="204"/>
        <v>561</v>
      </c>
      <c r="AJ244" s="204">
        <f t="shared" si="204"/>
        <v>822</v>
      </c>
      <c r="AK244" s="193">
        <v>0</v>
      </c>
      <c r="AL244" s="194">
        <v>0</v>
      </c>
      <c r="AM244" s="195">
        <v>0</v>
      </c>
      <c r="AN244" s="196">
        <v>0</v>
      </c>
      <c r="AO244" s="219">
        <v>0</v>
      </c>
      <c r="AP244" s="220">
        <v>0</v>
      </c>
      <c r="AQ244" s="205">
        <f t="shared" si="196"/>
        <v>0</v>
      </c>
      <c r="AR244" s="206">
        <f t="shared" si="197"/>
        <v>0</v>
      </c>
      <c r="AS244" s="193">
        <v>0</v>
      </c>
      <c r="AT244" s="194">
        <v>0</v>
      </c>
      <c r="AU244" s="195">
        <v>0</v>
      </c>
      <c r="AV244" s="196">
        <v>0</v>
      </c>
      <c r="AW244" s="219">
        <v>0</v>
      </c>
      <c r="AX244" s="220">
        <v>0</v>
      </c>
      <c r="AY244" s="205">
        <f t="shared" si="198"/>
        <v>0</v>
      </c>
      <c r="AZ244" s="206">
        <f t="shared" si="175"/>
        <v>0</v>
      </c>
      <c r="BA244" s="207">
        <f t="shared" si="205"/>
        <v>0</v>
      </c>
      <c r="BB244" s="204">
        <f t="shared" si="205"/>
        <v>0</v>
      </c>
      <c r="BC244" s="208">
        <f t="shared" si="206"/>
        <v>271</v>
      </c>
      <c r="BD244" s="209">
        <f t="shared" si="206"/>
        <v>394</v>
      </c>
      <c r="BE244" s="210">
        <f t="shared" si="207"/>
        <v>290</v>
      </c>
      <c r="BF244" s="211">
        <f t="shared" si="207"/>
        <v>428</v>
      </c>
      <c r="BG244" s="212">
        <f t="shared" si="208"/>
        <v>561</v>
      </c>
      <c r="BH244" s="213">
        <f t="shared" si="208"/>
        <v>822</v>
      </c>
    </row>
    <row r="245" spans="1:60" ht="21.6" hidden="1" thickBot="1" x14ac:dyDescent="0.35">
      <c r="A245" s="214" t="s">
        <v>897</v>
      </c>
      <c r="B245" s="306" t="s">
        <v>781</v>
      </c>
      <c r="C245" s="180"/>
      <c r="D245" s="215">
        <v>0</v>
      </c>
      <c r="E245" s="182">
        <v>0</v>
      </c>
      <c r="F245" s="183">
        <v>0</v>
      </c>
      <c r="G245" s="216">
        <v>0</v>
      </c>
      <c r="H245" s="217">
        <v>0</v>
      </c>
      <c r="I245" s="217">
        <v>0</v>
      </c>
      <c r="J245" s="218">
        <v>0</v>
      </c>
      <c r="K245" s="223"/>
      <c r="L245" s="222"/>
      <c r="M245" s="189"/>
      <c r="N245" s="189"/>
      <c r="O245" s="190"/>
      <c r="P245" s="190"/>
      <c r="Q245" s="191"/>
      <c r="R245" s="192">
        <v>0</v>
      </c>
      <c r="S245" s="193">
        <v>0</v>
      </c>
      <c r="T245" s="194">
        <v>0</v>
      </c>
      <c r="U245" s="195">
        <v>0</v>
      </c>
      <c r="V245" s="196">
        <v>0</v>
      </c>
      <c r="W245" s="219">
        <v>0</v>
      </c>
      <c r="X245" s="220">
        <v>0</v>
      </c>
      <c r="Y245" s="199">
        <f t="shared" si="203"/>
        <v>0</v>
      </c>
      <c r="Z245" s="200">
        <f t="shared" si="192"/>
        <v>0</v>
      </c>
      <c r="AA245" s="193">
        <v>0</v>
      </c>
      <c r="AB245" s="194">
        <v>0</v>
      </c>
      <c r="AC245" s="195">
        <v>0</v>
      </c>
      <c r="AD245" s="201">
        <v>0</v>
      </c>
      <c r="AE245" s="221">
        <v>0</v>
      </c>
      <c r="AF245" s="220">
        <v>0</v>
      </c>
      <c r="AG245" s="199">
        <f t="shared" si="193"/>
        <v>0</v>
      </c>
      <c r="AH245" s="200">
        <f t="shared" si="194"/>
        <v>0</v>
      </c>
      <c r="AI245" s="203">
        <f t="shared" si="204"/>
        <v>0</v>
      </c>
      <c r="AJ245" s="204">
        <f t="shared" si="204"/>
        <v>0</v>
      </c>
      <c r="AK245" s="193">
        <v>0</v>
      </c>
      <c r="AL245" s="194">
        <v>0</v>
      </c>
      <c r="AM245" s="195">
        <v>0</v>
      </c>
      <c r="AN245" s="196">
        <v>0</v>
      </c>
      <c r="AO245" s="219">
        <v>0</v>
      </c>
      <c r="AP245" s="220">
        <v>0</v>
      </c>
      <c r="AQ245" s="205">
        <f t="shared" si="196"/>
        <v>0</v>
      </c>
      <c r="AR245" s="206">
        <f t="shared" si="197"/>
        <v>0</v>
      </c>
      <c r="AS245" s="193">
        <v>0</v>
      </c>
      <c r="AT245" s="194">
        <v>0</v>
      </c>
      <c r="AU245" s="195">
        <v>0</v>
      </c>
      <c r="AV245" s="196">
        <v>0</v>
      </c>
      <c r="AW245" s="219">
        <v>0</v>
      </c>
      <c r="AX245" s="220">
        <v>0</v>
      </c>
      <c r="AY245" s="205">
        <f t="shared" si="198"/>
        <v>0</v>
      </c>
      <c r="AZ245" s="206">
        <f t="shared" si="175"/>
        <v>0</v>
      </c>
      <c r="BA245" s="207">
        <f t="shared" si="205"/>
        <v>0</v>
      </c>
      <c r="BB245" s="204">
        <f t="shared" si="205"/>
        <v>0</v>
      </c>
      <c r="BC245" s="208">
        <f t="shared" si="206"/>
        <v>0</v>
      </c>
      <c r="BD245" s="209">
        <f t="shared" si="206"/>
        <v>0</v>
      </c>
      <c r="BE245" s="210">
        <f t="shared" si="207"/>
        <v>0</v>
      </c>
      <c r="BF245" s="211">
        <f t="shared" si="207"/>
        <v>0</v>
      </c>
      <c r="BG245" s="212">
        <f t="shared" si="208"/>
        <v>0</v>
      </c>
      <c r="BH245" s="213">
        <f t="shared" si="208"/>
        <v>0</v>
      </c>
    </row>
    <row r="246" spans="1:60" ht="21.6" hidden="1" thickBot="1" x14ac:dyDescent="0.35">
      <c r="A246" s="214" t="s">
        <v>897</v>
      </c>
      <c r="B246" s="306" t="s">
        <v>781</v>
      </c>
      <c r="C246" s="180"/>
      <c r="D246" s="215">
        <v>0</v>
      </c>
      <c r="E246" s="182">
        <v>0</v>
      </c>
      <c r="F246" s="183">
        <v>0</v>
      </c>
      <c r="G246" s="216">
        <v>0</v>
      </c>
      <c r="H246" s="217">
        <v>0</v>
      </c>
      <c r="I246" s="217">
        <v>0</v>
      </c>
      <c r="J246" s="218">
        <v>0</v>
      </c>
      <c r="K246" s="223">
        <v>0</v>
      </c>
      <c r="L246" s="222">
        <v>0</v>
      </c>
      <c r="M246" s="229">
        <v>0</v>
      </c>
      <c r="N246" s="229">
        <v>0</v>
      </c>
      <c r="O246" s="230">
        <v>0</v>
      </c>
      <c r="P246" s="230">
        <v>0</v>
      </c>
      <c r="Q246" s="231">
        <v>0</v>
      </c>
      <c r="R246" s="192">
        <v>0</v>
      </c>
      <c r="S246" s="193">
        <v>0</v>
      </c>
      <c r="T246" s="194">
        <v>0</v>
      </c>
      <c r="U246" s="195">
        <v>0</v>
      </c>
      <c r="V246" s="196">
        <v>0</v>
      </c>
      <c r="W246" s="219">
        <v>0</v>
      </c>
      <c r="X246" s="220">
        <v>0</v>
      </c>
      <c r="Y246" s="199">
        <f t="shared" si="203"/>
        <v>0</v>
      </c>
      <c r="Z246" s="200">
        <f t="shared" si="192"/>
        <v>0</v>
      </c>
      <c r="AA246" s="193">
        <v>0</v>
      </c>
      <c r="AB246" s="194">
        <v>0</v>
      </c>
      <c r="AC246" s="195">
        <v>0</v>
      </c>
      <c r="AD246" s="201">
        <v>0</v>
      </c>
      <c r="AE246" s="221">
        <v>0</v>
      </c>
      <c r="AF246" s="220">
        <v>0</v>
      </c>
      <c r="AG246" s="199">
        <f t="shared" si="193"/>
        <v>0</v>
      </c>
      <c r="AH246" s="200">
        <f t="shared" si="194"/>
        <v>0</v>
      </c>
      <c r="AI246" s="203">
        <f t="shared" si="204"/>
        <v>0</v>
      </c>
      <c r="AJ246" s="204">
        <f t="shared" si="204"/>
        <v>0</v>
      </c>
      <c r="AK246" s="193">
        <v>0</v>
      </c>
      <c r="AL246" s="194">
        <v>0</v>
      </c>
      <c r="AM246" s="195">
        <v>0</v>
      </c>
      <c r="AN246" s="196">
        <v>0</v>
      </c>
      <c r="AO246" s="219">
        <v>0</v>
      </c>
      <c r="AP246" s="220">
        <v>0</v>
      </c>
      <c r="AQ246" s="205">
        <f t="shared" si="196"/>
        <v>0</v>
      </c>
      <c r="AR246" s="206">
        <f t="shared" si="197"/>
        <v>0</v>
      </c>
      <c r="AS246" s="193">
        <v>0</v>
      </c>
      <c r="AT246" s="194">
        <v>0</v>
      </c>
      <c r="AU246" s="195">
        <v>0</v>
      </c>
      <c r="AV246" s="196">
        <v>0</v>
      </c>
      <c r="AW246" s="219">
        <v>0</v>
      </c>
      <c r="AX246" s="220">
        <v>0</v>
      </c>
      <c r="AY246" s="205">
        <f t="shared" si="198"/>
        <v>0</v>
      </c>
      <c r="AZ246" s="206">
        <f t="shared" si="175"/>
        <v>0</v>
      </c>
      <c r="BA246" s="207">
        <f t="shared" si="205"/>
        <v>0</v>
      </c>
      <c r="BB246" s="204">
        <f t="shared" si="205"/>
        <v>0</v>
      </c>
      <c r="BC246" s="208">
        <f t="shared" si="206"/>
        <v>0</v>
      </c>
      <c r="BD246" s="209">
        <f t="shared" si="206"/>
        <v>0</v>
      </c>
      <c r="BE246" s="210">
        <f t="shared" si="207"/>
        <v>0</v>
      </c>
      <c r="BF246" s="211">
        <f t="shared" si="207"/>
        <v>0</v>
      </c>
      <c r="BG246" s="212">
        <f t="shared" si="208"/>
        <v>0</v>
      </c>
      <c r="BH246" s="213">
        <f t="shared" si="208"/>
        <v>0</v>
      </c>
    </row>
    <row r="247" spans="1:60" ht="21.6" hidden="1" thickBot="1" x14ac:dyDescent="0.35">
      <c r="A247" s="235" t="s">
        <v>897</v>
      </c>
      <c r="B247" s="306">
        <v>0</v>
      </c>
      <c r="C247" s="180"/>
      <c r="D247" s="215">
        <v>0</v>
      </c>
      <c r="E247" s="182">
        <v>0</v>
      </c>
      <c r="F247" s="183">
        <v>0</v>
      </c>
      <c r="G247" s="216">
        <v>0</v>
      </c>
      <c r="H247" s="217">
        <v>0</v>
      </c>
      <c r="I247" s="217">
        <v>0</v>
      </c>
      <c r="J247" s="218">
        <v>0</v>
      </c>
      <c r="K247" s="223">
        <v>0</v>
      </c>
      <c r="L247" s="222">
        <v>0</v>
      </c>
      <c r="M247" s="229">
        <v>0</v>
      </c>
      <c r="N247" s="229">
        <v>0</v>
      </c>
      <c r="O247" s="230">
        <v>0</v>
      </c>
      <c r="P247" s="230">
        <v>0</v>
      </c>
      <c r="Q247" s="231">
        <v>0</v>
      </c>
      <c r="R247" s="192">
        <v>0</v>
      </c>
      <c r="S247" s="193">
        <v>0</v>
      </c>
      <c r="T247" s="194">
        <v>0</v>
      </c>
      <c r="U247" s="195">
        <v>0</v>
      </c>
      <c r="V247" s="196">
        <v>0</v>
      </c>
      <c r="W247" s="219">
        <v>0</v>
      </c>
      <c r="X247" s="220">
        <v>0</v>
      </c>
      <c r="Y247" s="199">
        <f t="shared" si="203"/>
        <v>0</v>
      </c>
      <c r="Z247" s="200">
        <f t="shared" si="192"/>
        <v>0</v>
      </c>
      <c r="AA247" s="193">
        <v>0</v>
      </c>
      <c r="AB247" s="194">
        <v>0</v>
      </c>
      <c r="AC247" s="195">
        <v>0</v>
      </c>
      <c r="AD247" s="201">
        <v>0</v>
      </c>
      <c r="AE247" s="221">
        <v>0</v>
      </c>
      <c r="AF247" s="220">
        <v>0</v>
      </c>
      <c r="AG247" s="199">
        <f t="shared" si="193"/>
        <v>0</v>
      </c>
      <c r="AH247" s="200">
        <f t="shared" si="194"/>
        <v>0</v>
      </c>
      <c r="AI247" s="203">
        <f t="shared" si="204"/>
        <v>0</v>
      </c>
      <c r="AJ247" s="204">
        <f t="shared" si="204"/>
        <v>0</v>
      </c>
      <c r="AK247" s="193">
        <v>0</v>
      </c>
      <c r="AL247" s="194">
        <v>0</v>
      </c>
      <c r="AM247" s="195">
        <v>0</v>
      </c>
      <c r="AN247" s="196">
        <v>0</v>
      </c>
      <c r="AO247" s="219">
        <v>0</v>
      </c>
      <c r="AP247" s="220">
        <v>0</v>
      </c>
      <c r="AQ247" s="205">
        <f t="shared" si="196"/>
        <v>0</v>
      </c>
      <c r="AR247" s="206">
        <f t="shared" si="197"/>
        <v>0</v>
      </c>
      <c r="AS247" s="193">
        <v>0</v>
      </c>
      <c r="AT247" s="194">
        <v>0</v>
      </c>
      <c r="AU247" s="195">
        <v>0</v>
      </c>
      <c r="AV247" s="196">
        <v>0</v>
      </c>
      <c r="AW247" s="219">
        <v>0</v>
      </c>
      <c r="AX247" s="220">
        <v>0</v>
      </c>
      <c r="AY247" s="205">
        <f t="shared" si="198"/>
        <v>0</v>
      </c>
      <c r="AZ247" s="206">
        <f t="shared" si="175"/>
        <v>0</v>
      </c>
      <c r="BA247" s="207">
        <f t="shared" si="205"/>
        <v>0</v>
      </c>
      <c r="BB247" s="204">
        <f t="shared" si="205"/>
        <v>0</v>
      </c>
      <c r="BC247" s="208">
        <f t="shared" si="206"/>
        <v>0</v>
      </c>
      <c r="BD247" s="209">
        <f t="shared" si="206"/>
        <v>0</v>
      </c>
      <c r="BE247" s="210">
        <f t="shared" si="207"/>
        <v>0</v>
      </c>
      <c r="BF247" s="211">
        <f t="shared" si="207"/>
        <v>0</v>
      </c>
      <c r="BG247" s="212">
        <f t="shared" si="208"/>
        <v>0</v>
      </c>
      <c r="BH247" s="213">
        <f t="shared" si="208"/>
        <v>0</v>
      </c>
    </row>
    <row r="248" spans="1:60" s="153" customFormat="1" ht="23.4" thickBot="1" x14ac:dyDescent="0.35">
      <c r="A248" s="317" t="s">
        <v>1009</v>
      </c>
      <c r="B248" s="317" t="s">
        <v>1009</v>
      </c>
      <c r="C248" s="324" t="s">
        <v>2</v>
      </c>
      <c r="D248" s="252" t="s">
        <v>1010</v>
      </c>
      <c r="E248" s="318" t="s">
        <v>534</v>
      </c>
      <c r="F248" s="159" t="s">
        <v>5</v>
      </c>
      <c r="G248" s="160" t="s">
        <v>6</v>
      </c>
      <c r="H248" s="161" t="s">
        <v>7</v>
      </c>
      <c r="I248" s="161" t="s">
        <v>8</v>
      </c>
      <c r="J248" s="162" t="s">
        <v>9</v>
      </c>
      <c r="K248" s="163" t="s">
        <v>38</v>
      </c>
      <c r="L248" s="164" t="s">
        <v>38</v>
      </c>
      <c r="M248" s="165" t="s">
        <v>38</v>
      </c>
      <c r="N248" s="166" t="s">
        <v>38</v>
      </c>
      <c r="O248" s="165" t="s">
        <v>39</v>
      </c>
      <c r="P248" s="165" t="s">
        <v>39</v>
      </c>
      <c r="Q248" s="254" t="s">
        <v>39</v>
      </c>
      <c r="R248" s="319" t="s">
        <v>17</v>
      </c>
      <c r="S248" s="169">
        <f t="shared" ref="S248:X248" si="209">SUM(S249:S277)</f>
        <v>2393</v>
      </c>
      <c r="T248" s="170">
        <f t="shared" si="209"/>
        <v>142</v>
      </c>
      <c r="U248" s="171">
        <f t="shared" si="209"/>
        <v>2067</v>
      </c>
      <c r="V248" s="172">
        <f t="shared" si="209"/>
        <v>680</v>
      </c>
      <c r="W248" s="173">
        <f t="shared" si="209"/>
        <v>0</v>
      </c>
      <c r="X248" s="174">
        <f t="shared" si="209"/>
        <v>19</v>
      </c>
      <c r="Y248" s="169">
        <f>SUM(S248:X248)</f>
        <v>5301</v>
      </c>
      <c r="Z248" s="175">
        <f>Y248+SUM(U248:V248)+X248</f>
        <v>8067</v>
      </c>
      <c r="AA248" s="169">
        <f t="shared" ref="AA248:AF248" si="210">SUM(AA249:AA277)</f>
        <v>2357</v>
      </c>
      <c r="AB248" s="170">
        <f t="shared" si="210"/>
        <v>426</v>
      </c>
      <c r="AC248" s="171">
        <f t="shared" si="210"/>
        <v>2012</v>
      </c>
      <c r="AD248" s="320">
        <f t="shared" si="210"/>
        <v>590</v>
      </c>
      <c r="AE248" s="321">
        <f t="shared" si="210"/>
        <v>0</v>
      </c>
      <c r="AF248" s="174">
        <f t="shared" si="210"/>
        <v>189</v>
      </c>
      <c r="AG248" s="169">
        <f>SUM(AA248:AF248)</f>
        <v>5574</v>
      </c>
      <c r="AH248" s="175">
        <f>AG248+SUM(AC248:AD248)+AF248</f>
        <v>8365</v>
      </c>
      <c r="AI248" s="169">
        <f t="shared" si="204"/>
        <v>10875</v>
      </c>
      <c r="AJ248" s="175">
        <f t="shared" si="204"/>
        <v>16432</v>
      </c>
      <c r="AK248" s="169">
        <f t="shared" ref="AK248:AP248" si="211">SUM(AK249:AK277)</f>
        <v>4</v>
      </c>
      <c r="AL248" s="170">
        <f t="shared" si="211"/>
        <v>0</v>
      </c>
      <c r="AM248" s="171">
        <f t="shared" si="211"/>
        <v>179</v>
      </c>
      <c r="AN248" s="172">
        <f t="shared" si="211"/>
        <v>0</v>
      </c>
      <c r="AO248" s="173">
        <f t="shared" si="211"/>
        <v>0</v>
      </c>
      <c r="AP248" s="174">
        <f t="shared" si="211"/>
        <v>0</v>
      </c>
      <c r="AQ248" s="169">
        <f>SUM(AK248:AP248)</f>
        <v>183</v>
      </c>
      <c r="AR248" s="170">
        <f>AQ248+SUM(AM248:AN248)+AP248</f>
        <v>362</v>
      </c>
      <c r="AS248" s="169">
        <f t="shared" ref="AS248:AX248" si="212">SUM(AS249:AS277)</f>
        <v>4</v>
      </c>
      <c r="AT248" s="170">
        <f t="shared" si="212"/>
        <v>0</v>
      </c>
      <c r="AU248" s="171">
        <f t="shared" si="212"/>
        <v>179</v>
      </c>
      <c r="AV248" s="320">
        <f t="shared" si="212"/>
        <v>0</v>
      </c>
      <c r="AW248" s="321">
        <f t="shared" si="212"/>
        <v>0</v>
      </c>
      <c r="AX248" s="174">
        <f t="shared" si="212"/>
        <v>0</v>
      </c>
      <c r="AY248" s="169">
        <f>SUM(AS248:AX248)</f>
        <v>183</v>
      </c>
      <c r="AZ248" s="170">
        <f t="shared" si="175"/>
        <v>362</v>
      </c>
      <c r="BA248" s="169">
        <f t="shared" si="205"/>
        <v>366</v>
      </c>
      <c r="BB248" s="170">
        <f t="shared" si="205"/>
        <v>724</v>
      </c>
      <c r="BC248" s="169">
        <f t="shared" si="206"/>
        <v>5484</v>
      </c>
      <c r="BD248" s="170">
        <f t="shared" si="206"/>
        <v>8429</v>
      </c>
      <c r="BE248" s="169">
        <f t="shared" si="207"/>
        <v>5757</v>
      </c>
      <c r="BF248" s="176">
        <f t="shared" si="207"/>
        <v>8727</v>
      </c>
      <c r="BG248" s="169">
        <f t="shared" si="208"/>
        <v>11241</v>
      </c>
      <c r="BH248" s="170">
        <f t="shared" si="208"/>
        <v>17156</v>
      </c>
    </row>
    <row r="249" spans="1:60" ht="21" x14ac:dyDescent="0.3">
      <c r="A249" s="178" t="s">
        <v>1009</v>
      </c>
      <c r="B249" s="306">
        <v>1</v>
      </c>
      <c r="C249" s="180">
        <v>1</v>
      </c>
      <c r="D249" s="215" t="s">
        <v>65</v>
      </c>
      <c r="E249" s="182" t="s">
        <v>1011</v>
      </c>
      <c r="F249" s="183" t="s">
        <v>1012</v>
      </c>
      <c r="G249" s="216" t="s">
        <v>1013</v>
      </c>
      <c r="H249" s="217" t="s">
        <v>1014</v>
      </c>
      <c r="I249" s="217" t="s">
        <v>1015</v>
      </c>
      <c r="J249" s="218">
        <v>45901.708333333336</v>
      </c>
      <c r="K249" s="223">
        <f t="shared" ref="K249:K277" si="213">I249-H249</f>
        <v>0.50138888888614019</v>
      </c>
      <c r="L249" s="222">
        <v>6.9444444445252884E-2</v>
      </c>
      <c r="M249" s="189">
        <f t="shared" ref="M249:M267" si="214">K249-L249</f>
        <v>0.43194444444088731</v>
      </c>
      <c r="N249" s="189">
        <f t="shared" ref="N249:N277" si="215">J249-G249</f>
        <v>0.60416666667151731</v>
      </c>
      <c r="O249" s="190">
        <f t="shared" ref="O249:O267" si="216">BG249/M249/24</f>
        <v>56.913183280211456</v>
      </c>
      <c r="P249" s="190">
        <f t="shared" ref="P249:P267" si="217">BG249/K249/24</f>
        <v>49.030470914396211</v>
      </c>
      <c r="Q249" s="191">
        <f t="shared" ref="Q249:Q267" si="218">BG249/N249/24</f>
        <v>40.689655172087107</v>
      </c>
      <c r="R249" s="192" t="s">
        <v>71</v>
      </c>
      <c r="S249" s="193">
        <v>127</v>
      </c>
      <c r="T249" s="194">
        <v>2</v>
      </c>
      <c r="U249" s="195">
        <v>154</v>
      </c>
      <c r="V249" s="196">
        <v>19</v>
      </c>
      <c r="W249" s="219">
        <v>0</v>
      </c>
      <c r="X249" s="220">
        <v>3</v>
      </c>
      <c r="Y249" s="199">
        <f t="shared" ref="Y249" si="219">SUM(S249:X249)</f>
        <v>305</v>
      </c>
      <c r="Z249" s="200">
        <f t="shared" ref="Z249:Z277" si="220">Y249+SUM(U249:V249)+X249</f>
        <v>481</v>
      </c>
      <c r="AA249" s="193">
        <v>87</v>
      </c>
      <c r="AB249" s="194">
        <v>27</v>
      </c>
      <c r="AC249" s="195">
        <v>141</v>
      </c>
      <c r="AD249" s="201">
        <v>27</v>
      </c>
      <c r="AE249" s="221">
        <v>0</v>
      </c>
      <c r="AF249" s="220">
        <v>3</v>
      </c>
      <c r="AG249" s="199">
        <f t="shared" ref="AG249:AG277" si="221">SUM(AA249:AF249)</f>
        <v>285</v>
      </c>
      <c r="AH249" s="200">
        <f t="shared" ref="AH249:AH277" si="222">AG249+SUM(AC249:AD249)+AF249</f>
        <v>456</v>
      </c>
      <c r="AI249" s="203">
        <f t="shared" si="204"/>
        <v>590</v>
      </c>
      <c r="AJ249" s="204">
        <f t="shared" si="204"/>
        <v>937</v>
      </c>
      <c r="AK249" s="193">
        <v>0</v>
      </c>
      <c r="AL249" s="194">
        <v>0</v>
      </c>
      <c r="AM249" s="195">
        <v>0</v>
      </c>
      <c r="AN249" s="196">
        <v>0</v>
      </c>
      <c r="AO249" s="219">
        <v>0</v>
      </c>
      <c r="AP249" s="220">
        <v>0</v>
      </c>
      <c r="AQ249" s="205">
        <f t="shared" ref="AQ249:AQ277" si="223">SUM(AK249:AP249)</f>
        <v>0</v>
      </c>
      <c r="AR249" s="206">
        <f t="shared" ref="AR249:AR277" si="224">AQ249+SUM(AM249:AN249)+AP249</f>
        <v>0</v>
      </c>
      <c r="AS249" s="193">
        <v>0</v>
      </c>
      <c r="AT249" s="194">
        <v>0</v>
      </c>
      <c r="AU249" s="195">
        <v>0</v>
      </c>
      <c r="AV249" s="196">
        <v>0</v>
      </c>
      <c r="AW249" s="219">
        <v>0</v>
      </c>
      <c r="AX249" s="220">
        <v>0</v>
      </c>
      <c r="AY249" s="205">
        <f t="shared" ref="AY249:AY277" si="225">SUM(AS249:AX249)</f>
        <v>0</v>
      </c>
      <c r="AZ249" s="206">
        <f t="shared" si="175"/>
        <v>0</v>
      </c>
      <c r="BA249" s="207">
        <f t="shared" si="205"/>
        <v>0</v>
      </c>
      <c r="BB249" s="204">
        <f t="shared" si="205"/>
        <v>0</v>
      </c>
      <c r="BC249" s="208">
        <f t="shared" si="206"/>
        <v>305</v>
      </c>
      <c r="BD249" s="209">
        <f t="shared" si="206"/>
        <v>481</v>
      </c>
      <c r="BE249" s="210">
        <f t="shared" si="207"/>
        <v>285</v>
      </c>
      <c r="BF249" s="211">
        <f t="shared" si="207"/>
        <v>456</v>
      </c>
      <c r="BG249" s="212">
        <f t="shared" si="208"/>
        <v>590</v>
      </c>
      <c r="BH249" s="213">
        <f t="shared" si="208"/>
        <v>937</v>
      </c>
    </row>
    <row r="250" spans="1:60" ht="21" x14ac:dyDescent="0.3">
      <c r="A250" s="214" t="s">
        <v>1009</v>
      </c>
      <c r="B250" s="306">
        <v>1</v>
      </c>
      <c r="C250" s="180">
        <v>2</v>
      </c>
      <c r="D250" s="215" t="s">
        <v>58</v>
      </c>
      <c r="E250" s="182" t="s">
        <v>1016</v>
      </c>
      <c r="F250" s="183" t="s">
        <v>900</v>
      </c>
      <c r="G250" s="216" t="s">
        <v>1017</v>
      </c>
      <c r="H250" s="217" t="s">
        <v>1018</v>
      </c>
      <c r="I250" s="217" t="s">
        <v>1019</v>
      </c>
      <c r="J250" s="218">
        <v>45905.1875</v>
      </c>
      <c r="K250" s="223">
        <f t="shared" si="213"/>
        <v>0.70486111110949423</v>
      </c>
      <c r="L250" s="222">
        <v>0</v>
      </c>
      <c r="M250" s="189">
        <f t="shared" si="214"/>
        <v>0.70486111110949423</v>
      </c>
      <c r="N250" s="189">
        <f t="shared" si="215"/>
        <v>0.83333333333575865</v>
      </c>
      <c r="O250" s="190">
        <f t="shared" si="216"/>
        <v>42.561576354777436</v>
      </c>
      <c r="P250" s="190">
        <f t="shared" si="217"/>
        <v>42.561576354777436</v>
      </c>
      <c r="Q250" s="191">
        <f t="shared" si="218"/>
        <v>35.99999999989523</v>
      </c>
      <c r="R250" s="192" t="s">
        <v>57</v>
      </c>
      <c r="S250" s="193">
        <v>180</v>
      </c>
      <c r="T250" s="194">
        <v>2</v>
      </c>
      <c r="U250" s="195">
        <v>127</v>
      </c>
      <c r="V250" s="196">
        <v>6</v>
      </c>
      <c r="W250" s="219">
        <v>0</v>
      </c>
      <c r="X250" s="220">
        <v>2</v>
      </c>
      <c r="Y250" s="199">
        <f t="shared" ref="Y250" si="226">SUM(S250:X250)</f>
        <v>317</v>
      </c>
      <c r="Z250" s="200">
        <f t="shared" si="220"/>
        <v>452</v>
      </c>
      <c r="AA250" s="193">
        <v>124</v>
      </c>
      <c r="AB250" s="194">
        <v>56</v>
      </c>
      <c r="AC250" s="195">
        <v>122</v>
      </c>
      <c r="AD250" s="201">
        <v>50</v>
      </c>
      <c r="AE250" s="221">
        <v>0</v>
      </c>
      <c r="AF250" s="220">
        <v>15</v>
      </c>
      <c r="AG250" s="199">
        <f t="shared" si="221"/>
        <v>367</v>
      </c>
      <c r="AH250" s="200">
        <f t="shared" si="222"/>
        <v>554</v>
      </c>
      <c r="AI250" s="203">
        <f t="shared" si="204"/>
        <v>684</v>
      </c>
      <c r="AJ250" s="204">
        <f t="shared" si="204"/>
        <v>1006</v>
      </c>
      <c r="AK250" s="193">
        <v>0</v>
      </c>
      <c r="AL250" s="194">
        <v>0</v>
      </c>
      <c r="AM250" s="195">
        <v>18</v>
      </c>
      <c r="AN250" s="196">
        <v>0</v>
      </c>
      <c r="AO250" s="219">
        <v>0</v>
      </c>
      <c r="AP250" s="220">
        <v>0</v>
      </c>
      <c r="AQ250" s="205">
        <f t="shared" si="223"/>
        <v>18</v>
      </c>
      <c r="AR250" s="206">
        <f t="shared" si="224"/>
        <v>36</v>
      </c>
      <c r="AS250" s="193">
        <v>0</v>
      </c>
      <c r="AT250" s="194">
        <v>0</v>
      </c>
      <c r="AU250" s="195">
        <v>18</v>
      </c>
      <c r="AV250" s="196">
        <v>0</v>
      </c>
      <c r="AW250" s="219">
        <v>0</v>
      </c>
      <c r="AX250" s="220">
        <v>0</v>
      </c>
      <c r="AY250" s="205">
        <f t="shared" si="225"/>
        <v>18</v>
      </c>
      <c r="AZ250" s="206">
        <f t="shared" si="175"/>
        <v>36</v>
      </c>
      <c r="BA250" s="207">
        <f t="shared" si="205"/>
        <v>36</v>
      </c>
      <c r="BB250" s="204">
        <f t="shared" si="205"/>
        <v>72</v>
      </c>
      <c r="BC250" s="208">
        <f t="shared" si="206"/>
        <v>335</v>
      </c>
      <c r="BD250" s="209">
        <f t="shared" si="206"/>
        <v>488</v>
      </c>
      <c r="BE250" s="210">
        <f t="shared" si="207"/>
        <v>385</v>
      </c>
      <c r="BF250" s="211">
        <f t="shared" si="207"/>
        <v>590</v>
      </c>
      <c r="BG250" s="212">
        <f t="shared" si="208"/>
        <v>720</v>
      </c>
      <c r="BH250" s="213">
        <f t="shared" si="208"/>
        <v>1078</v>
      </c>
    </row>
    <row r="251" spans="1:60" ht="21" x14ac:dyDescent="0.3">
      <c r="A251" s="214" t="s">
        <v>1009</v>
      </c>
      <c r="B251" s="306">
        <v>2</v>
      </c>
      <c r="C251" s="180">
        <v>3</v>
      </c>
      <c r="D251" s="215" t="s">
        <v>72</v>
      </c>
      <c r="E251" s="182" t="s">
        <v>1020</v>
      </c>
      <c r="F251" s="183" t="s">
        <v>870</v>
      </c>
      <c r="G251" s="216" t="s">
        <v>1021</v>
      </c>
      <c r="H251" s="217" t="s">
        <v>1022</v>
      </c>
      <c r="I251" s="217" t="s">
        <v>1023</v>
      </c>
      <c r="J251" s="218">
        <v>45905.604166666664</v>
      </c>
      <c r="K251" s="223">
        <f t="shared" si="213"/>
        <v>2.3895833333299379</v>
      </c>
      <c r="L251" s="222">
        <v>1.6770833333284827</v>
      </c>
      <c r="M251" s="189">
        <f t="shared" si="214"/>
        <v>0.71250000000145519</v>
      </c>
      <c r="N251" s="189">
        <f t="shared" si="215"/>
        <v>2.5173611111094942</v>
      </c>
      <c r="O251" s="190">
        <f t="shared" si="216"/>
        <v>36.023391812791921</v>
      </c>
      <c r="P251" s="190">
        <f t="shared" si="217"/>
        <v>10.741063644304711</v>
      </c>
      <c r="Q251" s="191">
        <f t="shared" si="218"/>
        <v>10.195862068972065</v>
      </c>
      <c r="R251" s="192" t="s">
        <v>57</v>
      </c>
      <c r="S251" s="193">
        <v>150</v>
      </c>
      <c r="T251" s="194">
        <v>1</v>
      </c>
      <c r="U251" s="195">
        <v>59</v>
      </c>
      <c r="V251" s="196">
        <v>0</v>
      </c>
      <c r="W251" s="219">
        <v>0</v>
      </c>
      <c r="X251" s="220">
        <v>0</v>
      </c>
      <c r="Y251" s="199">
        <f t="shared" ref="Y251:Y258" si="227">SUM(S251:X251)</f>
        <v>210</v>
      </c>
      <c r="Z251" s="200">
        <f t="shared" si="220"/>
        <v>269</v>
      </c>
      <c r="AA251" s="193">
        <v>88</v>
      </c>
      <c r="AB251" s="194">
        <v>51</v>
      </c>
      <c r="AC251" s="195">
        <v>11</v>
      </c>
      <c r="AD251" s="201">
        <v>50</v>
      </c>
      <c r="AE251" s="221">
        <v>0</v>
      </c>
      <c r="AF251" s="220">
        <v>0</v>
      </c>
      <c r="AG251" s="199">
        <f t="shared" si="221"/>
        <v>200</v>
      </c>
      <c r="AH251" s="200">
        <f t="shared" si="222"/>
        <v>261</v>
      </c>
      <c r="AI251" s="203">
        <f t="shared" si="204"/>
        <v>410</v>
      </c>
      <c r="AJ251" s="204">
        <f t="shared" si="204"/>
        <v>530</v>
      </c>
      <c r="AK251" s="193">
        <v>4</v>
      </c>
      <c r="AL251" s="194">
        <v>0</v>
      </c>
      <c r="AM251" s="195">
        <v>99</v>
      </c>
      <c r="AN251" s="196">
        <v>0</v>
      </c>
      <c r="AO251" s="219">
        <v>0</v>
      </c>
      <c r="AP251" s="220">
        <v>0</v>
      </c>
      <c r="AQ251" s="205">
        <f t="shared" si="223"/>
        <v>103</v>
      </c>
      <c r="AR251" s="206">
        <f t="shared" si="224"/>
        <v>202</v>
      </c>
      <c r="AS251" s="193">
        <v>4</v>
      </c>
      <c r="AT251" s="194">
        <v>0</v>
      </c>
      <c r="AU251" s="195">
        <v>99</v>
      </c>
      <c r="AV251" s="196">
        <v>0</v>
      </c>
      <c r="AW251" s="219">
        <v>0</v>
      </c>
      <c r="AX251" s="220">
        <v>0</v>
      </c>
      <c r="AY251" s="205">
        <f t="shared" si="225"/>
        <v>103</v>
      </c>
      <c r="AZ251" s="206">
        <f t="shared" si="175"/>
        <v>202</v>
      </c>
      <c r="BA251" s="207">
        <f t="shared" si="205"/>
        <v>206</v>
      </c>
      <c r="BB251" s="204">
        <f t="shared" si="205"/>
        <v>404</v>
      </c>
      <c r="BC251" s="208">
        <f t="shared" si="206"/>
        <v>313</v>
      </c>
      <c r="BD251" s="209">
        <f t="shared" si="206"/>
        <v>471</v>
      </c>
      <c r="BE251" s="210">
        <f t="shared" si="207"/>
        <v>303</v>
      </c>
      <c r="BF251" s="211">
        <f t="shared" si="207"/>
        <v>463</v>
      </c>
      <c r="BG251" s="212">
        <f t="shared" si="208"/>
        <v>616</v>
      </c>
      <c r="BH251" s="213">
        <f t="shared" si="208"/>
        <v>934</v>
      </c>
    </row>
    <row r="252" spans="1:60" s="325" customFormat="1" ht="21" x14ac:dyDescent="0.3">
      <c r="A252" s="214" t="s">
        <v>1009</v>
      </c>
      <c r="B252" s="306">
        <v>3</v>
      </c>
      <c r="C252" s="180">
        <v>4</v>
      </c>
      <c r="D252" s="215" t="s">
        <v>231</v>
      </c>
      <c r="E252" s="182" t="s">
        <v>1024</v>
      </c>
      <c r="F252" s="183" t="s">
        <v>900</v>
      </c>
      <c r="G252" s="216" t="s">
        <v>1025</v>
      </c>
      <c r="H252" s="217" t="s">
        <v>1026</v>
      </c>
      <c r="I252" s="217" t="s">
        <v>1027</v>
      </c>
      <c r="J252" s="218">
        <v>45908.572916666664</v>
      </c>
      <c r="K252" s="223">
        <f t="shared" si="213"/>
        <v>0.49375000000145519</v>
      </c>
      <c r="L252" s="222">
        <v>0</v>
      </c>
      <c r="M252" s="189">
        <f t="shared" si="214"/>
        <v>0.49375000000145519</v>
      </c>
      <c r="N252" s="189">
        <f t="shared" si="215"/>
        <v>0.52430555555474712</v>
      </c>
      <c r="O252" s="190">
        <f t="shared" si="216"/>
        <v>50.801687763563358</v>
      </c>
      <c r="P252" s="190">
        <f t="shared" si="217"/>
        <v>50.801687763563358</v>
      </c>
      <c r="Q252" s="191">
        <f t="shared" si="218"/>
        <v>47.841059602722773</v>
      </c>
      <c r="R252" s="192" t="s">
        <v>57</v>
      </c>
      <c r="S252" s="193">
        <v>146</v>
      </c>
      <c r="T252" s="194">
        <v>0</v>
      </c>
      <c r="U252" s="195">
        <v>105</v>
      </c>
      <c r="V252" s="196">
        <v>52</v>
      </c>
      <c r="W252" s="219">
        <v>0</v>
      </c>
      <c r="X252" s="220">
        <v>0</v>
      </c>
      <c r="Y252" s="199">
        <f t="shared" si="227"/>
        <v>303</v>
      </c>
      <c r="Z252" s="200">
        <f t="shared" si="220"/>
        <v>460</v>
      </c>
      <c r="AA252" s="193">
        <v>131</v>
      </c>
      <c r="AB252" s="194">
        <v>4</v>
      </c>
      <c r="AC252" s="195">
        <v>124</v>
      </c>
      <c r="AD252" s="201">
        <v>30</v>
      </c>
      <c r="AE252" s="221">
        <v>0</v>
      </c>
      <c r="AF252" s="220">
        <v>10</v>
      </c>
      <c r="AG252" s="199">
        <f t="shared" si="221"/>
        <v>299</v>
      </c>
      <c r="AH252" s="200">
        <f t="shared" si="222"/>
        <v>463</v>
      </c>
      <c r="AI252" s="203">
        <f t="shared" si="204"/>
        <v>602</v>
      </c>
      <c r="AJ252" s="204">
        <f t="shared" si="204"/>
        <v>923</v>
      </c>
      <c r="AK252" s="193">
        <v>0</v>
      </c>
      <c r="AL252" s="194">
        <v>0</v>
      </c>
      <c r="AM252" s="195">
        <v>0</v>
      </c>
      <c r="AN252" s="196">
        <v>0</v>
      </c>
      <c r="AO252" s="219">
        <v>0</v>
      </c>
      <c r="AP252" s="220">
        <v>0</v>
      </c>
      <c r="AQ252" s="205">
        <f t="shared" si="223"/>
        <v>0</v>
      </c>
      <c r="AR252" s="206">
        <f t="shared" si="224"/>
        <v>0</v>
      </c>
      <c r="AS252" s="193">
        <v>0</v>
      </c>
      <c r="AT252" s="194">
        <v>0</v>
      </c>
      <c r="AU252" s="195">
        <v>0</v>
      </c>
      <c r="AV252" s="196">
        <v>0</v>
      </c>
      <c r="AW252" s="219">
        <v>0</v>
      </c>
      <c r="AX252" s="220">
        <v>0</v>
      </c>
      <c r="AY252" s="205">
        <f t="shared" si="225"/>
        <v>0</v>
      </c>
      <c r="AZ252" s="206">
        <f t="shared" si="175"/>
        <v>0</v>
      </c>
      <c r="BA252" s="207">
        <f t="shared" si="205"/>
        <v>0</v>
      </c>
      <c r="BB252" s="204">
        <f t="shared" si="205"/>
        <v>0</v>
      </c>
      <c r="BC252" s="208">
        <f t="shared" si="206"/>
        <v>303</v>
      </c>
      <c r="BD252" s="209">
        <f t="shared" si="206"/>
        <v>460</v>
      </c>
      <c r="BE252" s="210">
        <f t="shared" si="207"/>
        <v>299</v>
      </c>
      <c r="BF252" s="211">
        <f t="shared" si="207"/>
        <v>463</v>
      </c>
      <c r="BG252" s="212">
        <f t="shared" si="208"/>
        <v>602</v>
      </c>
      <c r="BH252" s="213">
        <f t="shared" si="208"/>
        <v>923</v>
      </c>
    </row>
    <row r="253" spans="1:60" ht="21" x14ac:dyDescent="0.3">
      <c r="A253" s="214" t="s">
        <v>1009</v>
      </c>
      <c r="B253" s="306">
        <v>2</v>
      </c>
      <c r="C253" s="180">
        <v>5</v>
      </c>
      <c r="D253" s="215" t="s">
        <v>65</v>
      </c>
      <c r="E253" s="182" t="s">
        <v>1028</v>
      </c>
      <c r="F253" s="183" t="s">
        <v>1029</v>
      </c>
      <c r="G253" s="216" t="s">
        <v>1030</v>
      </c>
      <c r="H253" s="217" t="s">
        <v>1031</v>
      </c>
      <c r="I253" s="217" t="s">
        <v>1032</v>
      </c>
      <c r="J253" s="218">
        <v>45909</v>
      </c>
      <c r="K253" s="223">
        <f t="shared" si="213"/>
        <v>0.625</v>
      </c>
      <c r="L253" s="222">
        <v>1.7361111109494232E-2</v>
      </c>
      <c r="M253" s="189">
        <f t="shared" si="214"/>
        <v>0.60763888889050577</v>
      </c>
      <c r="N253" s="189">
        <f t="shared" si="215"/>
        <v>0.65625</v>
      </c>
      <c r="O253" s="190">
        <f t="shared" si="216"/>
        <v>40.731428571320187</v>
      </c>
      <c r="P253" s="190">
        <f t="shared" si="217"/>
        <v>39.6</v>
      </c>
      <c r="Q253" s="191">
        <f t="shared" si="218"/>
        <v>37.714285714285715</v>
      </c>
      <c r="R253" s="192" t="s">
        <v>71</v>
      </c>
      <c r="S253" s="193">
        <v>128</v>
      </c>
      <c r="T253" s="194">
        <v>0</v>
      </c>
      <c r="U253" s="195">
        <v>160</v>
      </c>
      <c r="V253" s="196">
        <v>25</v>
      </c>
      <c r="W253" s="219">
        <v>0</v>
      </c>
      <c r="X253" s="220">
        <v>2</v>
      </c>
      <c r="Y253" s="199">
        <f t="shared" si="227"/>
        <v>315</v>
      </c>
      <c r="Z253" s="200">
        <f t="shared" si="220"/>
        <v>502</v>
      </c>
      <c r="AA253" s="193">
        <v>101</v>
      </c>
      <c r="AB253" s="194">
        <v>34</v>
      </c>
      <c r="AC253" s="195">
        <v>127</v>
      </c>
      <c r="AD253" s="201">
        <v>13</v>
      </c>
      <c r="AE253" s="221">
        <v>0</v>
      </c>
      <c r="AF253" s="220">
        <v>4</v>
      </c>
      <c r="AG253" s="199">
        <f t="shared" si="221"/>
        <v>279</v>
      </c>
      <c r="AH253" s="200">
        <f t="shared" si="222"/>
        <v>423</v>
      </c>
      <c r="AI253" s="203">
        <f t="shared" si="204"/>
        <v>594</v>
      </c>
      <c r="AJ253" s="204">
        <f t="shared" si="204"/>
        <v>925</v>
      </c>
      <c r="AK253" s="193">
        <v>0</v>
      </c>
      <c r="AL253" s="194">
        <v>0</v>
      </c>
      <c r="AM253" s="195">
        <v>0</v>
      </c>
      <c r="AN253" s="196">
        <v>0</v>
      </c>
      <c r="AO253" s="219">
        <v>0</v>
      </c>
      <c r="AP253" s="220">
        <v>0</v>
      </c>
      <c r="AQ253" s="205">
        <f t="shared" si="223"/>
        <v>0</v>
      </c>
      <c r="AR253" s="206">
        <f t="shared" si="224"/>
        <v>0</v>
      </c>
      <c r="AS253" s="193">
        <v>0</v>
      </c>
      <c r="AT253" s="194">
        <v>0</v>
      </c>
      <c r="AU253" s="195">
        <v>0</v>
      </c>
      <c r="AV253" s="196">
        <v>0</v>
      </c>
      <c r="AW253" s="219">
        <v>0</v>
      </c>
      <c r="AX253" s="220">
        <v>0</v>
      </c>
      <c r="AY253" s="205">
        <f t="shared" si="225"/>
        <v>0</v>
      </c>
      <c r="AZ253" s="206">
        <f t="shared" si="175"/>
        <v>0</v>
      </c>
      <c r="BA253" s="207">
        <f t="shared" si="205"/>
        <v>0</v>
      </c>
      <c r="BB253" s="204">
        <f t="shared" si="205"/>
        <v>0</v>
      </c>
      <c r="BC253" s="208">
        <f t="shared" si="206"/>
        <v>315</v>
      </c>
      <c r="BD253" s="209">
        <f t="shared" si="206"/>
        <v>502</v>
      </c>
      <c r="BE253" s="210">
        <f t="shared" si="207"/>
        <v>279</v>
      </c>
      <c r="BF253" s="211">
        <f t="shared" si="207"/>
        <v>423</v>
      </c>
      <c r="BG253" s="212">
        <f t="shared" si="208"/>
        <v>594</v>
      </c>
      <c r="BH253" s="213">
        <f t="shared" si="208"/>
        <v>925</v>
      </c>
    </row>
    <row r="254" spans="1:60" ht="21" x14ac:dyDescent="0.3">
      <c r="A254" s="214" t="s">
        <v>1009</v>
      </c>
      <c r="B254" s="306">
        <v>4</v>
      </c>
      <c r="C254" s="180">
        <v>6</v>
      </c>
      <c r="D254" s="215" t="s">
        <v>72</v>
      </c>
      <c r="E254" s="182" t="s">
        <v>1033</v>
      </c>
      <c r="F254" s="183" t="s">
        <v>900</v>
      </c>
      <c r="G254" s="216" t="s">
        <v>1034</v>
      </c>
      <c r="H254" s="217" t="s">
        <v>1035</v>
      </c>
      <c r="I254" s="217" t="s">
        <v>1036</v>
      </c>
      <c r="J254" s="218">
        <v>45912.635416666664</v>
      </c>
      <c r="K254" s="223">
        <f t="shared" si="213"/>
        <v>0.46458333333430346</v>
      </c>
      <c r="L254" s="222">
        <v>0</v>
      </c>
      <c r="M254" s="189">
        <f t="shared" si="214"/>
        <v>0.46458333333430346</v>
      </c>
      <c r="N254" s="189">
        <f t="shared" si="215"/>
        <v>0.48958333332848269</v>
      </c>
      <c r="O254" s="190">
        <f t="shared" si="216"/>
        <v>43.139013452824713</v>
      </c>
      <c r="P254" s="190">
        <f t="shared" si="217"/>
        <v>43.139013452824713</v>
      </c>
      <c r="Q254" s="191">
        <f t="shared" si="218"/>
        <v>40.936170213171543</v>
      </c>
      <c r="R254" s="192" t="s">
        <v>57</v>
      </c>
      <c r="S254" s="193">
        <v>115</v>
      </c>
      <c r="T254" s="194">
        <v>16</v>
      </c>
      <c r="U254" s="195">
        <v>47</v>
      </c>
      <c r="V254" s="196">
        <v>1</v>
      </c>
      <c r="W254" s="219">
        <v>0</v>
      </c>
      <c r="X254" s="220">
        <v>0</v>
      </c>
      <c r="Y254" s="199">
        <f t="shared" si="227"/>
        <v>179</v>
      </c>
      <c r="Z254" s="200">
        <f t="shared" si="220"/>
        <v>227</v>
      </c>
      <c r="AA254" s="193">
        <v>125</v>
      </c>
      <c r="AB254" s="194">
        <v>20</v>
      </c>
      <c r="AC254" s="195">
        <v>107</v>
      </c>
      <c r="AD254" s="201">
        <v>50</v>
      </c>
      <c r="AE254" s="221">
        <v>0</v>
      </c>
      <c r="AF254" s="220">
        <v>0</v>
      </c>
      <c r="AG254" s="199">
        <f t="shared" si="221"/>
        <v>302</v>
      </c>
      <c r="AH254" s="200">
        <f t="shared" si="222"/>
        <v>459</v>
      </c>
      <c r="AI254" s="203">
        <f t="shared" si="204"/>
        <v>481</v>
      </c>
      <c r="AJ254" s="204">
        <f t="shared" si="204"/>
        <v>686</v>
      </c>
      <c r="AK254" s="193">
        <v>0</v>
      </c>
      <c r="AL254" s="194">
        <v>0</v>
      </c>
      <c r="AM254" s="195">
        <v>0</v>
      </c>
      <c r="AN254" s="196">
        <v>0</v>
      </c>
      <c r="AO254" s="219">
        <v>0</v>
      </c>
      <c r="AP254" s="220">
        <v>0</v>
      </c>
      <c r="AQ254" s="205">
        <f t="shared" si="223"/>
        <v>0</v>
      </c>
      <c r="AR254" s="206">
        <f t="shared" si="224"/>
        <v>0</v>
      </c>
      <c r="AS254" s="193">
        <v>0</v>
      </c>
      <c r="AT254" s="194">
        <v>0</v>
      </c>
      <c r="AU254" s="195">
        <v>0</v>
      </c>
      <c r="AV254" s="196">
        <v>0</v>
      </c>
      <c r="AW254" s="219">
        <v>0</v>
      </c>
      <c r="AX254" s="220">
        <v>0</v>
      </c>
      <c r="AY254" s="205">
        <f t="shared" si="225"/>
        <v>0</v>
      </c>
      <c r="AZ254" s="206">
        <f t="shared" ref="AZ254:AZ277" si="228">AY254+SUM(AU254:AV254)+AX254</f>
        <v>0</v>
      </c>
      <c r="BA254" s="207">
        <f t="shared" si="205"/>
        <v>0</v>
      </c>
      <c r="BB254" s="204">
        <f t="shared" si="205"/>
        <v>0</v>
      </c>
      <c r="BC254" s="208">
        <f t="shared" si="206"/>
        <v>179</v>
      </c>
      <c r="BD254" s="209">
        <f t="shared" si="206"/>
        <v>227</v>
      </c>
      <c r="BE254" s="210">
        <f t="shared" si="207"/>
        <v>302</v>
      </c>
      <c r="BF254" s="211">
        <f t="shared" si="207"/>
        <v>459</v>
      </c>
      <c r="BG254" s="212">
        <f t="shared" si="208"/>
        <v>481</v>
      </c>
      <c r="BH254" s="213">
        <f t="shared" si="208"/>
        <v>686</v>
      </c>
    </row>
    <row r="255" spans="1:60" ht="21" x14ac:dyDescent="0.3">
      <c r="A255" s="214" t="s">
        <v>1009</v>
      </c>
      <c r="B255" s="306">
        <v>5</v>
      </c>
      <c r="C255" s="180">
        <v>7</v>
      </c>
      <c r="D255" s="215" t="s">
        <v>58</v>
      </c>
      <c r="E255" s="182" t="s">
        <v>1037</v>
      </c>
      <c r="F255" s="183" t="s">
        <v>929</v>
      </c>
      <c r="G255" s="216" t="s">
        <v>1038</v>
      </c>
      <c r="H255" s="217" t="s">
        <v>1039</v>
      </c>
      <c r="I255" s="217" t="s">
        <v>1040</v>
      </c>
      <c r="J255" s="218">
        <v>45914.666666666664</v>
      </c>
      <c r="K255" s="223">
        <f t="shared" si="213"/>
        <v>0.69930555555038154</v>
      </c>
      <c r="L255" s="222">
        <v>5.2083333335758653E-2</v>
      </c>
      <c r="M255" s="189">
        <f t="shared" si="214"/>
        <v>0.64722222221462289</v>
      </c>
      <c r="N255" s="189">
        <f t="shared" si="215"/>
        <v>0.93402777777373558</v>
      </c>
      <c r="O255" s="190">
        <f t="shared" si="216"/>
        <v>62.639484979276254</v>
      </c>
      <c r="P255" s="190">
        <f t="shared" si="217"/>
        <v>57.974180735284953</v>
      </c>
      <c r="Q255" s="191">
        <f t="shared" si="218"/>
        <v>43.405204461154391</v>
      </c>
      <c r="R255" s="192" t="s">
        <v>57</v>
      </c>
      <c r="S255" s="193">
        <v>189</v>
      </c>
      <c r="T255" s="194">
        <v>3</v>
      </c>
      <c r="U255" s="195">
        <v>173</v>
      </c>
      <c r="V255" s="196">
        <v>123</v>
      </c>
      <c r="W255" s="219">
        <v>0</v>
      </c>
      <c r="X255" s="220">
        <v>1</v>
      </c>
      <c r="Y255" s="199">
        <f t="shared" si="227"/>
        <v>489</v>
      </c>
      <c r="Z255" s="200">
        <f t="shared" si="220"/>
        <v>786</v>
      </c>
      <c r="AA255" s="193">
        <v>192</v>
      </c>
      <c r="AB255" s="194">
        <v>47</v>
      </c>
      <c r="AC255" s="195">
        <v>164</v>
      </c>
      <c r="AD255" s="201">
        <v>53</v>
      </c>
      <c r="AE255" s="221">
        <v>0</v>
      </c>
      <c r="AF255" s="220">
        <v>28</v>
      </c>
      <c r="AG255" s="199">
        <f t="shared" si="221"/>
        <v>484</v>
      </c>
      <c r="AH255" s="200">
        <f t="shared" si="222"/>
        <v>729</v>
      </c>
      <c r="AI255" s="203">
        <f t="shared" si="204"/>
        <v>973</v>
      </c>
      <c r="AJ255" s="204">
        <f t="shared" si="204"/>
        <v>1515</v>
      </c>
      <c r="AK255" s="193">
        <v>0</v>
      </c>
      <c r="AL255" s="194">
        <v>0</v>
      </c>
      <c r="AM255" s="195">
        <v>0</v>
      </c>
      <c r="AN255" s="196">
        <v>0</v>
      </c>
      <c r="AO255" s="219">
        <v>0</v>
      </c>
      <c r="AP255" s="220">
        <v>0</v>
      </c>
      <c r="AQ255" s="205">
        <f t="shared" si="223"/>
        <v>0</v>
      </c>
      <c r="AR255" s="206">
        <f t="shared" si="224"/>
        <v>0</v>
      </c>
      <c r="AS255" s="193">
        <v>0</v>
      </c>
      <c r="AT255" s="194">
        <v>0</v>
      </c>
      <c r="AU255" s="195">
        <v>0</v>
      </c>
      <c r="AV255" s="196">
        <v>0</v>
      </c>
      <c r="AW255" s="219">
        <v>0</v>
      </c>
      <c r="AX255" s="220">
        <v>0</v>
      </c>
      <c r="AY255" s="205">
        <f t="shared" si="225"/>
        <v>0</v>
      </c>
      <c r="AZ255" s="206">
        <f t="shared" si="228"/>
        <v>0</v>
      </c>
      <c r="BA255" s="207">
        <f t="shared" si="205"/>
        <v>0</v>
      </c>
      <c r="BB255" s="204">
        <f t="shared" si="205"/>
        <v>0</v>
      </c>
      <c r="BC255" s="208">
        <f t="shared" si="206"/>
        <v>489</v>
      </c>
      <c r="BD255" s="209">
        <f t="shared" si="206"/>
        <v>786</v>
      </c>
      <c r="BE255" s="210">
        <f t="shared" si="207"/>
        <v>484</v>
      </c>
      <c r="BF255" s="211">
        <f t="shared" si="207"/>
        <v>729</v>
      </c>
      <c r="BG255" s="212">
        <f t="shared" si="208"/>
        <v>973</v>
      </c>
      <c r="BH255" s="213">
        <f t="shared" si="208"/>
        <v>1515</v>
      </c>
    </row>
    <row r="256" spans="1:60" ht="21" x14ac:dyDescent="0.3">
      <c r="A256" s="214" t="s">
        <v>1009</v>
      </c>
      <c r="B256" s="306">
        <v>3</v>
      </c>
      <c r="C256" s="180">
        <v>8</v>
      </c>
      <c r="D256" s="215" t="s">
        <v>65</v>
      </c>
      <c r="E256" s="182" t="s">
        <v>1041</v>
      </c>
      <c r="F256" s="183" t="s">
        <v>1042</v>
      </c>
      <c r="G256" s="216" t="s">
        <v>1043</v>
      </c>
      <c r="H256" s="217" t="s">
        <v>1044</v>
      </c>
      <c r="I256" s="217" t="s">
        <v>1045</v>
      </c>
      <c r="J256" s="218">
        <v>45916.208333333336</v>
      </c>
      <c r="K256" s="223">
        <f t="shared" si="213"/>
        <v>0.44236111110512866</v>
      </c>
      <c r="L256" s="222">
        <v>0</v>
      </c>
      <c r="M256" s="189">
        <f t="shared" si="214"/>
        <v>0.44236111110512866</v>
      </c>
      <c r="N256" s="189">
        <f t="shared" si="215"/>
        <v>0.51388888889050577</v>
      </c>
      <c r="O256" s="190">
        <f t="shared" si="216"/>
        <v>56.326530613006646</v>
      </c>
      <c r="P256" s="190">
        <f t="shared" si="217"/>
        <v>56.326530613006646</v>
      </c>
      <c r="Q256" s="191">
        <f t="shared" si="218"/>
        <v>48.486486486333924</v>
      </c>
      <c r="R256" s="192" t="s">
        <v>71</v>
      </c>
      <c r="S256" s="193">
        <v>128</v>
      </c>
      <c r="T256" s="194">
        <v>2</v>
      </c>
      <c r="U256" s="195">
        <v>160</v>
      </c>
      <c r="V256" s="196">
        <v>24</v>
      </c>
      <c r="W256" s="219">
        <v>0</v>
      </c>
      <c r="X256" s="220">
        <v>2</v>
      </c>
      <c r="Y256" s="199">
        <f t="shared" si="227"/>
        <v>316</v>
      </c>
      <c r="Z256" s="200">
        <f t="shared" si="220"/>
        <v>502</v>
      </c>
      <c r="AA256" s="193">
        <v>108</v>
      </c>
      <c r="AB256" s="194">
        <v>20</v>
      </c>
      <c r="AC256" s="195">
        <v>135</v>
      </c>
      <c r="AD256" s="201">
        <v>15</v>
      </c>
      <c r="AE256" s="221">
        <v>0</v>
      </c>
      <c r="AF256" s="220">
        <v>4</v>
      </c>
      <c r="AG256" s="199">
        <f t="shared" si="221"/>
        <v>282</v>
      </c>
      <c r="AH256" s="200">
        <f t="shared" si="222"/>
        <v>436</v>
      </c>
      <c r="AI256" s="203">
        <f t="shared" si="204"/>
        <v>598</v>
      </c>
      <c r="AJ256" s="204">
        <f t="shared" si="204"/>
        <v>938</v>
      </c>
      <c r="AK256" s="193">
        <v>0</v>
      </c>
      <c r="AL256" s="194">
        <v>0</v>
      </c>
      <c r="AM256" s="195">
        <v>0</v>
      </c>
      <c r="AN256" s="196">
        <v>0</v>
      </c>
      <c r="AO256" s="219">
        <v>0</v>
      </c>
      <c r="AP256" s="220">
        <v>0</v>
      </c>
      <c r="AQ256" s="205">
        <f t="shared" si="223"/>
        <v>0</v>
      </c>
      <c r="AR256" s="206">
        <f t="shared" si="224"/>
        <v>0</v>
      </c>
      <c r="AS256" s="193">
        <v>0</v>
      </c>
      <c r="AT256" s="194">
        <v>0</v>
      </c>
      <c r="AU256" s="195">
        <v>0</v>
      </c>
      <c r="AV256" s="196">
        <v>0</v>
      </c>
      <c r="AW256" s="219">
        <v>0</v>
      </c>
      <c r="AX256" s="220">
        <v>0</v>
      </c>
      <c r="AY256" s="205">
        <f t="shared" si="225"/>
        <v>0</v>
      </c>
      <c r="AZ256" s="206">
        <f t="shared" si="228"/>
        <v>0</v>
      </c>
      <c r="BA256" s="207">
        <f t="shared" si="205"/>
        <v>0</v>
      </c>
      <c r="BB256" s="204">
        <f t="shared" si="205"/>
        <v>0</v>
      </c>
      <c r="BC256" s="208">
        <f t="shared" si="206"/>
        <v>316</v>
      </c>
      <c r="BD256" s="209">
        <f t="shared" si="206"/>
        <v>502</v>
      </c>
      <c r="BE256" s="210">
        <f t="shared" si="207"/>
        <v>282</v>
      </c>
      <c r="BF256" s="211">
        <f t="shared" si="207"/>
        <v>436</v>
      </c>
      <c r="BG256" s="212">
        <f t="shared" si="208"/>
        <v>598</v>
      </c>
      <c r="BH256" s="213">
        <f t="shared" si="208"/>
        <v>938</v>
      </c>
    </row>
    <row r="257" spans="1:60" ht="21" x14ac:dyDescent="0.3">
      <c r="A257" s="214" t="s">
        <v>1009</v>
      </c>
      <c r="B257" s="306">
        <v>6</v>
      </c>
      <c r="C257" s="180">
        <v>9</v>
      </c>
      <c r="D257" s="215" t="s">
        <v>231</v>
      </c>
      <c r="E257" s="182" t="s">
        <v>1046</v>
      </c>
      <c r="F257" s="183" t="s">
        <v>929</v>
      </c>
      <c r="G257" s="216" t="s">
        <v>1047</v>
      </c>
      <c r="H257" s="217" t="s">
        <v>1048</v>
      </c>
      <c r="I257" s="217" t="s">
        <v>1049</v>
      </c>
      <c r="J257" s="218">
        <v>45916.430555555555</v>
      </c>
      <c r="K257" s="223">
        <f t="shared" si="213"/>
        <v>0.59722222222626442</v>
      </c>
      <c r="L257" s="222">
        <v>0</v>
      </c>
      <c r="M257" s="189">
        <f t="shared" si="214"/>
        <v>0.59722222222626442</v>
      </c>
      <c r="N257" s="189">
        <f t="shared" si="215"/>
        <v>0.63194444444525288</v>
      </c>
      <c r="O257" s="190">
        <f t="shared" si="216"/>
        <v>39.418604650895993</v>
      </c>
      <c r="P257" s="190">
        <f t="shared" si="217"/>
        <v>39.418604650895993</v>
      </c>
      <c r="Q257" s="191">
        <f t="shared" si="218"/>
        <v>37.252747252699599</v>
      </c>
      <c r="R257" s="192" t="s">
        <v>57</v>
      </c>
      <c r="S257" s="193">
        <v>126</v>
      </c>
      <c r="T257" s="194">
        <v>0</v>
      </c>
      <c r="U257" s="195">
        <v>100</v>
      </c>
      <c r="V257" s="196">
        <v>40</v>
      </c>
      <c r="W257" s="219">
        <v>0</v>
      </c>
      <c r="X257" s="220">
        <v>1</v>
      </c>
      <c r="Y257" s="199">
        <f t="shared" si="227"/>
        <v>267</v>
      </c>
      <c r="Z257" s="200">
        <f t="shared" si="220"/>
        <v>408</v>
      </c>
      <c r="AA257" s="193">
        <v>130</v>
      </c>
      <c r="AB257" s="194">
        <v>0</v>
      </c>
      <c r="AC257" s="195">
        <v>70</v>
      </c>
      <c r="AD257" s="201">
        <v>20</v>
      </c>
      <c r="AE257" s="221">
        <v>0</v>
      </c>
      <c r="AF257" s="220">
        <v>24</v>
      </c>
      <c r="AG257" s="199">
        <f t="shared" si="221"/>
        <v>244</v>
      </c>
      <c r="AH257" s="200">
        <f t="shared" si="222"/>
        <v>358</v>
      </c>
      <c r="AI257" s="203">
        <f t="shared" si="204"/>
        <v>511</v>
      </c>
      <c r="AJ257" s="204">
        <f t="shared" si="204"/>
        <v>766</v>
      </c>
      <c r="AK257" s="193">
        <v>0</v>
      </c>
      <c r="AL257" s="194">
        <v>0</v>
      </c>
      <c r="AM257" s="195">
        <v>27</v>
      </c>
      <c r="AN257" s="196">
        <v>0</v>
      </c>
      <c r="AO257" s="219">
        <v>0</v>
      </c>
      <c r="AP257" s="220">
        <v>0</v>
      </c>
      <c r="AQ257" s="205">
        <f t="shared" si="223"/>
        <v>27</v>
      </c>
      <c r="AR257" s="206">
        <f t="shared" si="224"/>
        <v>54</v>
      </c>
      <c r="AS257" s="193">
        <v>0</v>
      </c>
      <c r="AT257" s="194">
        <v>0</v>
      </c>
      <c r="AU257" s="195">
        <v>27</v>
      </c>
      <c r="AV257" s="196">
        <v>0</v>
      </c>
      <c r="AW257" s="219">
        <v>0</v>
      </c>
      <c r="AX257" s="220">
        <v>0</v>
      </c>
      <c r="AY257" s="205">
        <f t="shared" si="225"/>
        <v>27</v>
      </c>
      <c r="AZ257" s="206">
        <f t="shared" si="228"/>
        <v>54</v>
      </c>
      <c r="BA257" s="207">
        <f t="shared" si="205"/>
        <v>54</v>
      </c>
      <c r="BB257" s="204">
        <f t="shared" si="205"/>
        <v>108</v>
      </c>
      <c r="BC257" s="208">
        <f t="shared" si="206"/>
        <v>294</v>
      </c>
      <c r="BD257" s="209">
        <f t="shared" si="206"/>
        <v>462</v>
      </c>
      <c r="BE257" s="210">
        <f t="shared" si="207"/>
        <v>271</v>
      </c>
      <c r="BF257" s="211">
        <f t="shared" si="207"/>
        <v>412</v>
      </c>
      <c r="BG257" s="212">
        <f t="shared" si="208"/>
        <v>565</v>
      </c>
      <c r="BH257" s="213">
        <f t="shared" si="208"/>
        <v>874</v>
      </c>
    </row>
    <row r="258" spans="1:60" s="325" customFormat="1" ht="21" x14ac:dyDescent="0.3">
      <c r="A258" s="214" t="s">
        <v>1009</v>
      </c>
      <c r="B258" s="306">
        <v>7</v>
      </c>
      <c r="C258" s="180">
        <v>10</v>
      </c>
      <c r="D258" s="215" t="s">
        <v>655</v>
      </c>
      <c r="E258" s="182" t="s">
        <v>1050</v>
      </c>
      <c r="F258" s="183" t="s">
        <v>1051</v>
      </c>
      <c r="G258" s="216" t="s">
        <v>1052</v>
      </c>
      <c r="H258" s="217" t="s">
        <v>1053</v>
      </c>
      <c r="I258" s="217" t="s">
        <v>1054</v>
      </c>
      <c r="J258" s="218">
        <v>45918.166666666664</v>
      </c>
      <c r="K258" s="223">
        <f t="shared" si="213"/>
        <v>0.413888888884685</v>
      </c>
      <c r="L258" s="222">
        <v>0</v>
      </c>
      <c r="M258" s="189">
        <f t="shared" si="214"/>
        <v>0.413888888884685</v>
      </c>
      <c r="N258" s="189">
        <f t="shared" si="215"/>
        <v>0.64583333332848269</v>
      </c>
      <c r="O258" s="190">
        <f t="shared" si="216"/>
        <v>29.496644295601612</v>
      </c>
      <c r="P258" s="190">
        <f t="shared" si="217"/>
        <v>29.496644295601612</v>
      </c>
      <c r="Q258" s="191">
        <f t="shared" si="218"/>
        <v>18.903225806593589</v>
      </c>
      <c r="R258" s="192" t="s">
        <v>57</v>
      </c>
      <c r="S258" s="193">
        <v>98</v>
      </c>
      <c r="T258" s="194">
        <v>0</v>
      </c>
      <c r="U258" s="195">
        <v>38</v>
      </c>
      <c r="V258" s="196">
        <v>0</v>
      </c>
      <c r="W258" s="219">
        <v>0</v>
      </c>
      <c r="X258" s="220">
        <v>0</v>
      </c>
      <c r="Y258" s="199">
        <f t="shared" si="227"/>
        <v>136</v>
      </c>
      <c r="Z258" s="200">
        <f t="shared" si="220"/>
        <v>174</v>
      </c>
      <c r="AA258" s="193">
        <v>103</v>
      </c>
      <c r="AB258" s="194">
        <v>0</v>
      </c>
      <c r="AC258" s="195">
        <v>51</v>
      </c>
      <c r="AD258" s="201">
        <v>0</v>
      </c>
      <c r="AE258" s="221">
        <v>0</v>
      </c>
      <c r="AF258" s="220">
        <v>3</v>
      </c>
      <c r="AG258" s="199">
        <f t="shared" si="221"/>
        <v>157</v>
      </c>
      <c r="AH258" s="200">
        <f t="shared" si="222"/>
        <v>211</v>
      </c>
      <c r="AI258" s="203">
        <f t="shared" si="204"/>
        <v>293</v>
      </c>
      <c r="AJ258" s="204">
        <f t="shared" si="204"/>
        <v>385</v>
      </c>
      <c r="AK258" s="193">
        <v>0</v>
      </c>
      <c r="AL258" s="194">
        <v>0</v>
      </c>
      <c r="AM258" s="195">
        <v>0</v>
      </c>
      <c r="AN258" s="196">
        <v>0</v>
      </c>
      <c r="AO258" s="219">
        <v>0</v>
      </c>
      <c r="AP258" s="220">
        <v>0</v>
      </c>
      <c r="AQ258" s="205">
        <f t="shared" si="223"/>
        <v>0</v>
      </c>
      <c r="AR258" s="206">
        <f t="shared" si="224"/>
        <v>0</v>
      </c>
      <c r="AS258" s="193">
        <v>0</v>
      </c>
      <c r="AT258" s="194">
        <v>0</v>
      </c>
      <c r="AU258" s="195">
        <v>0</v>
      </c>
      <c r="AV258" s="196">
        <v>0</v>
      </c>
      <c r="AW258" s="219">
        <v>0</v>
      </c>
      <c r="AX258" s="220">
        <v>0</v>
      </c>
      <c r="AY258" s="205">
        <f t="shared" si="225"/>
        <v>0</v>
      </c>
      <c r="AZ258" s="206">
        <f t="shared" si="228"/>
        <v>0</v>
      </c>
      <c r="BA258" s="207">
        <f t="shared" si="205"/>
        <v>0</v>
      </c>
      <c r="BB258" s="204">
        <f t="shared" si="205"/>
        <v>0</v>
      </c>
      <c r="BC258" s="208">
        <f t="shared" si="206"/>
        <v>136</v>
      </c>
      <c r="BD258" s="209">
        <f t="shared" si="206"/>
        <v>174</v>
      </c>
      <c r="BE258" s="210">
        <f t="shared" si="207"/>
        <v>157</v>
      </c>
      <c r="BF258" s="211">
        <f t="shared" si="207"/>
        <v>211</v>
      </c>
      <c r="BG258" s="212">
        <f t="shared" si="208"/>
        <v>293</v>
      </c>
      <c r="BH258" s="213">
        <f t="shared" si="208"/>
        <v>385</v>
      </c>
    </row>
    <row r="259" spans="1:60" ht="21" x14ac:dyDescent="0.3">
      <c r="A259" s="214" t="s">
        <v>1009</v>
      </c>
      <c r="B259" s="306">
        <v>8</v>
      </c>
      <c r="C259" s="180">
        <v>11</v>
      </c>
      <c r="D259" s="215" t="s">
        <v>72</v>
      </c>
      <c r="E259" s="182" t="s">
        <v>1055</v>
      </c>
      <c r="F259" s="183" t="s">
        <v>929</v>
      </c>
      <c r="G259" s="216" t="s">
        <v>1056</v>
      </c>
      <c r="H259" s="217" t="s">
        <v>1057</v>
      </c>
      <c r="I259" s="217" t="s">
        <v>1058</v>
      </c>
      <c r="J259" s="218">
        <v>45918.875</v>
      </c>
      <c r="K259" s="223">
        <f t="shared" si="213"/>
        <v>0.46597222222771961</v>
      </c>
      <c r="L259" s="222">
        <v>4.5138888883229811E-2</v>
      </c>
      <c r="M259" s="189">
        <f t="shared" si="214"/>
        <v>0.4208333333444898</v>
      </c>
      <c r="N259" s="189">
        <f t="shared" si="215"/>
        <v>0.50347222221898846</v>
      </c>
      <c r="O259" s="190">
        <f t="shared" si="216"/>
        <v>47.722772275962569</v>
      </c>
      <c r="P259" s="190">
        <f t="shared" si="217"/>
        <v>43.09985096819495</v>
      </c>
      <c r="Q259" s="191">
        <f t="shared" si="218"/>
        <v>39.889655172669997</v>
      </c>
      <c r="R259" s="192" t="s">
        <v>57</v>
      </c>
      <c r="S259" s="193">
        <v>56</v>
      </c>
      <c r="T259" s="194">
        <v>0</v>
      </c>
      <c r="U259" s="195">
        <v>28</v>
      </c>
      <c r="V259" s="196">
        <v>54</v>
      </c>
      <c r="W259" s="219">
        <v>0</v>
      </c>
      <c r="X259" s="220">
        <v>0</v>
      </c>
      <c r="Y259" s="199">
        <f t="shared" ref="Y259:Y267" si="229">SUM(S259:X259)</f>
        <v>138</v>
      </c>
      <c r="Z259" s="200">
        <f t="shared" si="220"/>
        <v>220</v>
      </c>
      <c r="AA259" s="193">
        <v>161</v>
      </c>
      <c r="AB259" s="194">
        <v>0</v>
      </c>
      <c r="AC259" s="195">
        <v>107</v>
      </c>
      <c r="AD259" s="201">
        <v>76</v>
      </c>
      <c r="AE259" s="221">
        <v>0</v>
      </c>
      <c r="AF259" s="220">
        <v>0</v>
      </c>
      <c r="AG259" s="199">
        <f t="shared" si="221"/>
        <v>344</v>
      </c>
      <c r="AH259" s="200">
        <f t="shared" si="222"/>
        <v>527</v>
      </c>
      <c r="AI259" s="203">
        <f t="shared" si="204"/>
        <v>482</v>
      </c>
      <c r="AJ259" s="204">
        <f t="shared" si="204"/>
        <v>747</v>
      </c>
      <c r="AK259" s="193">
        <v>0</v>
      </c>
      <c r="AL259" s="194">
        <v>0</v>
      </c>
      <c r="AM259" s="195">
        <v>0</v>
      </c>
      <c r="AN259" s="196">
        <v>0</v>
      </c>
      <c r="AO259" s="219">
        <v>0</v>
      </c>
      <c r="AP259" s="220">
        <v>0</v>
      </c>
      <c r="AQ259" s="205">
        <f t="shared" si="223"/>
        <v>0</v>
      </c>
      <c r="AR259" s="206">
        <f t="shared" si="224"/>
        <v>0</v>
      </c>
      <c r="AS259" s="193">
        <v>0</v>
      </c>
      <c r="AT259" s="194">
        <v>0</v>
      </c>
      <c r="AU259" s="195">
        <v>0</v>
      </c>
      <c r="AV259" s="196">
        <v>0</v>
      </c>
      <c r="AW259" s="219">
        <v>0</v>
      </c>
      <c r="AX259" s="220">
        <v>0</v>
      </c>
      <c r="AY259" s="205">
        <f t="shared" si="225"/>
        <v>0</v>
      </c>
      <c r="AZ259" s="206">
        <f t="shared" si="228"/>
        <v>0</v>
      </c>
      <c r="BA259" s="207">
        <f t="shared" si="205"/>
        <v>0</v>
      </c>
      <c r="BB259" s="204">
        <f t="shared" si="205"/>
        <v>0</v>
      </c>
      <c r="BC259" s="208">
        <f t="shared" si="206"/>
        <v>138</v>
      </c>
      <c r="BD259" s="209">
        <f t="shared" si="206"/>
        <v>220</v>
      </c>
      <c r="BE259" s="210">
        <f t="shared" si="207"/>
        <v>344</v>
      </c>
      <c r="BF259" s="211">
        <f t="shared" si="207"/>
        <v>527</v>
      </c>
      <c r="BG259" s="212">
        <f t="shared" si="208"/>
        <v>482</v>
      </c>
      <c r="BH259" s="213">
        <f t="shared" si="208"/>
        <v>747</v>
      </c>
    </row>
    <row r="260" spans="1:60" ht="21" x14ac:dyDescent="0.3">
      <c r="A260" s="214" t="s">
        <v>1009</v>
      </c>
      <c r="B260" s="306">
        <v>4</v>
      </c>
      <c r="C260" s="180">
        <v>12</v>
      </c>
      <c r="D260" s="215" t="s">
        <v>79</v>
      </c>
      <c r="E260" s="182" t="s">
        <v>1059</v>
      </c>
      <c r="F260" s="183" t="s">
        <v>990</v>
      </c>
      <c r="G260" s="216" t="s">
        <v>1060</v>
      </c>
      <c r="H260" s="217" t="s">
        <v>1061</v>
      </c>
      <c r="I260" s="217" t="s">
        <v>1062</v>
      </c>
      <c r="J260" s="218">
        <v>45920.729166666664</v>
      </c>
      <c r="K260" s="223">
        <f t="shared" si="213"/>
        <v>0.56805555555183673</v>
      </c>
      <c r="L260" s="222">
        <v>6.25E-2</v>
      </c>
      <c r="M260" s="189">
        <f t="shared" si="214"/>
        <v>0.50555555555183673</v>
      </c>
      <c r="N260" s="189">
        <f t="shared" si="215"/>
        <v>0.61111111110949423</v>
      </c>
      <c r="O260" s="190">
        <f t="shared" si="216"/>
        <v>50.851648352022409</v>
      </c>
      <c r="P260" s="190">
        <f t="shared" si="217"/>
        <v>45.256723716677698</v>
      </c>
      <c r="Q260" s="191">
        <f t="shared" si="218"/>
        <v>42.06818181829312</v>
      </c>
      <c r="R260" s="192" t="s">
        <v>71</v>
      </c>
      <c r="S260" s="193">
        <v>121</v>
      </c>
      <c r="T260" s="194">
        <v>1</v>
      </c>
      <c r="U260" s="195">
        <v>169</v>
      </c>
      <c r="V260" s="196">
        <v>30</v>
      </c>
      <c r="W260" s="219">
        <v>0</v>
      </c>
      <c r="X260" s="220">
        <v>1</v>
      </c>
      <c r="Y260" s="199">
        <f t="shared" si="229"/>
        <v>322</v>
      </c>
      <c r="Z260" s="200">
        <f t="shared" si="220"/>
        <v>522</v>
      </c>
      <c r="AA260" s="193">
        <v>110</v>
      </c>
      <c r="AB260" s="194">
        <v>20</v>
      </c>
      <c r="AC260" s="195">
        <v>133</v>
      </c>
      <c r="AD260" s="201">
        <v>27</v>
      </c>
      <c r="AE260" s="221">
        <v>0</v>
      </c>
      <c r="AF260" s="220">
        <v>5</v>
      </c>
      <c r="AG260" s="199">
        <f t="shared" si="221"/>
        <v>295</v>
      </c>
      <c r="AH260" s="200">
        <f t="shared" si="222"/>
        <v>460</v>
      </c>
      <c r="AI260" s="203">
        <f t="shared" si="204"/>
        <v>617</v>
      </c>
      <c r="AJ260" s="204">
        <f t="shared" si="204"/>
        <v>982</v>
      </c>
      <c r="AK260" s="193">
        <v>0</v>
      </c>
      <c r="AL260" s="194">
        <v>0</v>
      </c>
      <c r="AM260" s="195">
        <v>0</v>
      </c>
      <c r="AN260" s="196">
        <v>0</v>
      </c>
      <c r="AO260" s="219">
        <v>0</v>
      </c>
      <c r="AP260" s="220">
        <v>0</v>
      </c>
      <c r="AQ260" s="205">
        <f t="shared" si="223"/>
        <v>0</v>
      </c>
      <c r="AR260" s="206">
        <f t="shared" si="224"/>
        <v>0</v>
      </c>
      <c r="AS260" s="193">
        <v>0</v>
      </c>
      <c r="AT260" s="194">
        <v>0</v>
      </c>
      <c r="AU260" s="195">
        <v>0</v>
      </c>
      <c r="AV260" s="196">
        <v>0</v>
      </c>
      <c r="AW260" s="219">
        <v>0</v>
      </c>
      <c r="AX260" s="220">
        <v>0</v>
      </c>
      <c r="AY260" s="205">
        <f t="shared" si="225"/>
        <v>0</v>
      </c>
      <c r="AZ260" s="206">
        <f t="shared" si="228"/>
        <v>0</v>
      </c>
      <c r="BA260" s="207">
        <f t="shared" si="205"/>
        <v>0</v>
      </c>
      <c r="BB260" s="204">
        <f t="shared" si="205"/>
        <v>0</v>
      </c>
      <c r="BC260" s="208">
        <f t="shared" si="206"/>
        <v>322</v>
      </c>
      <c r="BD260" s="209">
        <f t="shared" si="206"/>
        <v>522</v>
      </c>
      <c r="BE260" s="210">
        <f t="shared" si="207"/>
        <v>295</v>
      </c>
      <c r="BF260" s="211">
        <f t="shared" si="207"/>
        <v>460</v>
      </c>
      <c r="BG260" s="212">
        <f t="shared" si="208"/>
        <v>617</v>
      </c>
      <c r="BH260" s="213">
        <f t="shared" si="208"/>
        <v>982</v>
      </c>
    </row>
    <row r="261" spans="1:60" ht="21" x14ac:dyDescent="0.3">
      <c r="A261" s="214" t="s">
        <v>1009</v>
      </c>
      <c r="B261" s="306">
        <v>9</v>
      </c>
      <c r="C261" s="180">
        <v>13</v>
      </c>
      <c r="D261" s="215" t="s">
        <v>58</v>
      </c>
      <c r="E261" s="182" t="s">
        <v>1063</v>
      </c>
      <c r="F261" s="183" t="s">
        <v>959</v>
      </c>
      <c r="G261" s="216" t="s">
        <v>1064</v>
      </c>
      <c r="H261" s="217" t="s">
        <v>1065</v>
      </c>
      <c r="I261" s="217" t="s">
        <v>1066</v>
      </c>
      <c r="J261" s="218">
        <v>45922.25</v>
      </c>
      <c r="K261" s="223">
        <f t="shared" si="213"/>
        <v>0.63819444444379769</v>
      </c>
      <c r="L261" s="222">
        <v>0</v>
      </c>
      <c r="M261" s="189">
        <f t="shared" si="214"/>
        <v>0.63819444444379769</v>
      </c>
      <c r="N261" s="189">
        <f t="shared" si="215"/>
        <v>0.70833333333575865</v>
      </c>
      <c r="O261" s="190">
        <f t="shared" si="216"/>
        <v>58.498367791136538</v>
      </c>
      <c r="P261" s="190">
        <f t="shared" si="217"/>
        <v>58.498367791136538</v>
      </c>
      <c r="Q261" s="191">
        <f t="shared" si="218"/>
        <v>52.70588235276071</v>
      </c>
      <c r="R261" s="192" t="s">
        <v>57</v>
      </c>
      <c r="S261" s="193">
        <v>174</v>
      </c>
      <c r="T261" s="194">
        <v>0</v>
      </c>
      <c r="U261" s="195">
        <v>181</v>
      </c>
      <c r="V261" s="196">
        <v>133</v>
      </c>
      <c r="W261" s="219">
        <v>0</v>
      </c>
      <c r="X261" s="220">
        <v>2</v>
      </c>
      <c r="Y261" s="199">
        <f t="shared" si="229"/>
        <v>490</v>
      </c>
      <c r="Z261" s="200">
        <f t="shared" si="220"/>
        <v>806</v>
      </c>
      <c r="AA261" s="193">
        <v>202</v>
      </c>
      <c r="AB261" s="194">
        <v>0</v>
      </c>
      <c r="AC261" s="195">
        <v>153</v>
      </c>
      <c r="AD261" s="201">
        <v>20</v>
      </c>
      <c r="AE261" s="221">
        <v>0</v>
      </c>
      <c r="AF261" s="220">
        <v>31</v>
      </c>
      <c r="AG261" s="199">
        <f t="shared" si="221"/>
        <v>406</v>
      </c>
      <c r="AH261" s="200">
        <f t="shared" si="222"/>
        <v>610</v>
      </c>
      <c r="AI261" s="203">
        <f t="shared" si="204"/>
        <v>896</v>
      </c>
      <c r="AJ261" s="204">
        <f t="shared" si="204"/>
        <v>1416</v>
      </c>
      <c r="AK261" s="193">
        <v>0</v>
      </c>
      <c r="AL261" s="194">
        <v>0</v>
      </c>
      <c r="AM261" s="195">
        <v>0</v>
      </c>
      <c r="AN261" s="196">
        <v>0</v>
      </c>
      <c r="AO261" s="219">
        <v>0</v>
      </c>
      <c r="AP261" s="220">
        <v>0</v>
      </c>
      <c r="AQ261" s="205">
        <f t="shared" si="223"/>
        <v>0</v>
      </c>
      <c r="AR261" s="206">
        <f t="shared" si="224"/>
        <v>0</v>
      </c>
      <c r="AS261" s="193">
        <v>0</v>
      </c>
      <c r="AT261" s="194">
        <v>0</v>
      </c>
      <c r="AU261" s="195">
        <v>0</v>
      </c>
      <c r="AV261" s="196">
        <v>0</v>
      </c>
      <c r="AW261" s="219">
        <v>0</v>
      </c>
      <c r="AX261" s="220">
        <v>0</v>
      </c>
      <c r="AY261" s="205">
        <f t="shared" si="225"/>
        <v>0</v>
      </c>
      <c r="AZ261" s="206">
        <f t="shared" si="228"/>
        <v>0</v>
      </c>
      <c r="BA261" s="207">
        <f t="shared" si="205"/>
        <v>0</v>
      </c>
      <c r="BB261" s="204">
        <f t="shared" si="205"/>
        <v>0</v>
      </c>
      <c r="BC261" s="208">
        <f t="shared" si="206"/>
        <v>490</v>
      </c>
      <c r="BD261" s="209">
        <f t="shared" si="206"/>
        <v>806</v>
      </c>
      <c r="BE261" s="210">
        <f t="shared" si="207"/>
        <v>406</v>
      </c>
      <c r="BF261" s="211">
        <f t="shared" si="207"/>
        <v>610</v>
      </c>
      <c r="BG261" s="212">
        <f t="shared" si="208"/>
        <v>896</v>
      </c>
      <c r="BH261" s="213">
        <f t="shared" si="208"/>
        <v>1416</v>
      </c>
    </row>
    <row r="262" spans="1:60" ht="21" x14ac:dyDescent="0.3">
      <c r="A262" s="214" t="s">
        <v>1009</v>
      </c>
      <c r="B262" s="306">
        <v>5</v>
      </c>
      <c r="C262" s="180">
        <v>14</v>
      </c>
      <c r="D262" s="215" t="s">
        <v>65</v>
      </c>
      <c r="E262" s="182" t="s">
        <v>1067</v>
      </c>
      <c r="F262" s="183" t="s">
        <v>1068</v>
      </c>
      <c r="G262" s="216" t="s">
        <v>1069</v>
      </c>
      <c r="H262" s="217" t="s">
        <v>1070</v>
      </c>
      <c r="I262" s="217" t="s">
        <v>1071</v>
      </c>
      <c r="J262" s="218">
        <v>45923.375</v>
      </c>
      <c r="K262" s="223">
        <f t="shared" si="213"/>
        <v>0.44791666667151731</v>
      </c>
      <c r="L262" s="222">
        <v>0</v>
      </c>
      <c r="M262" s="189">
        <f t="shared" si="214"/>
        <v>0.44791666667151731</v>
      </c>
      <c r="N262" s="189">
        <f t="shared" si="215"/>
        <v>0.47569444444525288</v>
      </c>
      <c r="O262" s="190">
        <f t="shared" si="216"/>
        <v>55.162790697077043</v>
      </c>
      <c r="P262" s="190">
        <f t="shared" si="217"/>
        <v>55.162790697077043</v>
      </c>
      <c r="Q262" s="191">
        <f t="shared" si="218"/>
        <v>51.941605839327785</v>
      </c>
      <c r="R262" s="192" t="s">
        <v>71</v>
      </c>
      <c r="S262" s="193">
        <v>128</v>
      </c>
      <c r="T262" s="194">
        <v>2</v>
      </c>
      <c r="U262" s="195">
        <v>160</v>
      </c>
      <c r="V262" s="196">
        <v>16</v>
      </c>
      <c r="W262" s="219">
        <v>0</v>
      </c>
      <c r="X262" s="220">
        <v>1</v>
      </c>
      <c r="Y262" s="199">
        <f t="shared" si="229"/>
        <v>307</v>
      </c>
      <c r="Z262" s="200">
        <f t="shared" si="220"/>
        <v>484</v>
      </c>
      <c r="AA262" s="193">
        <v>107</v>
      </c>
      <c r="AB262" s="194">
        <v>19</v>
      </c>
      <c r="AC262" s="195">
        <v>127</v>
      </c>
      <c r="AD262" s="201">
        <v>29</v>
      </c>
      <c r="AE262" s="221">
        <v>0</v>
      </c>
      <c r="AF262" s="220">
        <v>4</v>
      </c>
      <c r="AG262" s="199">
        <f t="shared" si="221"/>
        <v>286</v>
      </c>
      <c r="AH262" s="200">
        <f t="shared" si="222"/>
        <v>446</v>
      </c>
      <c r="AI262" s="203">
        <f t="shared" si="204"/>
        <v>593</v>
      </c>
      <c r="AJ262" s="204">
        <f t="shared" si="204"/>
        <v>930</v>
      </c>
      <c r="AK262" s="193">
        <v>0</v>
      </c>
      <c r="AL262" s="194">
        <v>0</v>
      </c>
      <c r="AM262" s="195">
        <v>0</v>
      </c>
      <c r="AN262" s="196">
        <v>0</v>
      </c>
      <c r="AO262" s="219">
        <v>0</v>
      </c>
      <c r="AP262" s="220">
        <v>0</v>
      </c>
      <c r="AQ262" s="205">
        <f t="shared" si="223"/>
        <v>0</v>
      </c>
      <c r="AR262" s="206">
        <f t="shared" si="224"/>
        <v>0</v>
      </c>
      <c r="AS262" s="193">
        <v>0</v>
      </c>
      <c r="AT262" s="194">
        <v>0</v>
      </c>
      <c r="AU262" s="195">
        <v>0</v>
      </c>
      <c r="AV262" s="196">
        <v>0</v>
      </c>
      <c r="AW262" s="219">
        <v>0</v>
      </c>
      <c r="AX262" s="220">
        <v>0</v>
      </c>
      <c r="AY262" s="205">
        <f t="shared" si="225"/>
        <v>0</v>
      </c>
      <c r="AZ262" s="206">
        <f t="shared" si="228"/>
        <v>0</v>
      </c>
      <c r="BA262" s="207">
        <f t="shared" si="205"/>
        <v>0</v>
      </c>
      <c r="BB262" s="204">
        <f t="shared" si="205"/>
        <v>0</v>
      </c>
      <c r="BC262" s="208">
        <f t="shared" si="206"/>
        <v>307</v>
      </c>
      <c r="BD262" s="209">
        <f t="shared" si="206"/>
        <v>484</v>
      </c>
      <c r="BE262" s="210">
        <f t="shared" si="207"/>
        <v>286</v>
      </c>
      <c r="BF262" s="211">
        <f t="shared" si="207"/>
        <v>446</v>
      </c>
      <c r="BG262" s="212">
        <f t="shared" si="208"/>
        <v>593</v>
      </c>
      <c r="BH262" s="213">
        <f t="shared" si="208"/>
        <v>930</v>
      </c>
    </row>
    <row r="263" spans="1:60" s="325" customFormat="1" ht="21" x14ac:dyDescent="0.3">
      <c r="A263" s="214" t="s">
        <v>1009</v>
      </c>
      <c r="B263" s="306">
        <v>10</v>
      </c>
      <c r="C263" s="180">
        <v>15</v>
      </c>
      <c r="D263" s="215" t="s">
        <v>72</v>
      </c>
      <c r="E263" s="182" t="s">
        <v>1072</v>
      </c>
      <c r="F263" s="183" t="s">
        <v>959</v>
      </c>
      <c r="G263" s="216" t="s">
        <v>1073</v>
      </c>
      <c r="H263" s="217" t="s">
        <v>1074</v>
      </c>
      <c r="I263" s="217" t="s">
        <v>1075</v>
      </c>
      <c r="J263" s="218">
        <v>45925.291666666664</v>
      </c>
      <c r="K263" s="223">
        <f t="shared" si="213"/>
        <v>0.52847222222044365</v>
      </c>
      <c r="L263" s="222">
        <v>2.0833333335758653E-2</v>
      </c>
      <c r="M263" s="189">
        <f t="shared" si="214"/>
        <v>0.507638888884685</v>
      </c>
      <c r="N263" s="189">
        <f t="shared" si="215"/>
        <v>0.69791666666424135</v>
      </c>
      <c r="O263" s="190">
        <f t="shared" si="216"/>
        <v>48.59097127263221</v>
      </c>
      <c r="P263" s="190">
        <f t="shared" si="217"/>
        <v>46.675427069802289</v>
      </c>
      <c r="Q263" s="191">
        <f t="shared" si="218"/>
        <v>35.343283582212372</v>
      </c>
      <c r="R263" s="192" t="s">
        <v>57</v>
      </c>
      <c r="S263" s="193">
        <v>58</v>
      </c>
      <c r="T263" s="194">
        <v>49</v>
      </c>
      <c r="U263" s="195">
        <v>24</v>
      </c>
      <c r="V263" s="196">
        <v>70</v>
      </c>
      <c r="W263" s="219">
        <v>0</v>
      </c>
      <c r="X263" s="220">
        <v>0</v>
      </c>
      <c r="Y263" s="199">
        <f t="shared" si="229"/>
        <v>201</v>
      </c>
      <c r="Z263" s="200">
        <f t="shared" si="220"/>
        <v>295</v>
      </c>
      <c r="AA263" s="193">
        <v>103</v>
      </c>
      <c r="AB263" s="194">
        <v>110</v>
      </c>
      <c r="AC263" s="195">
        <v>104</v>
      </c>
      <c r="AD263" s="201">
        <v>50</v>
      </c>
      <c r="AE263" s="221">
        <v>0</v>
      </c>
      <c r="AF263" s="220">
        <v>0</v>
      </c>
      <c r="AG263" s="199">
        <f t="shared" si="221"/>
        <v>367</v>
      </c>
      <c r="AH263" s="200">
        <f t="shared" si="222"/>
        <v>521</v>
      </c>
      <c r="AI263" s="203">
        <f t="shared" ref="AI263:AJ278" si="230">Y263+AG263</f>
        <v>568</v>
      </c>
      <c r="AJ263" s="204">
        <f t="shared" si="230"/>
        <v>816</v>
      </c>
      <c r="AK263" s="193">
        <v>0</v>
      </c>
      <c r="AL263" s="194">
        <v>0</v>
      </c>
      <c r="AM263" s="195">
        <v>12</v>
      </c>
      <c r="AN263" s="196">
        <v>0</v>
      </c>
      <c r="AO263" s="219">
        <v>0</v>
      </c>
      <c r="AP263" s="220">
        <v>0</v>
      </c>
      <c r="AQ263" s="205">
        <f t="shared" si="223"/>
        <v>12</v>
      </c>
      <c r="AR263" s="206">
        <f t="shared" si="224"/>
        <v>24</v>
      </c>
      <c r="AS263" s="193">
        <v>0</v>
      </c>
      <c r="AT263" s="194">
        <v>0</v>
      </c>
      <c r="AU263" s="195">
        <v>12</v>
      </c>
      <c r="AV263" s="196">
        <v>0</v>
      </c>
      <c r="AW263" s="219">
        <v>0</v>
      </c>
      <c r="AX263" s="220">
        <v>0</v>
      </c>
      <c r="AY263" s="205">
        <f t="shared" si="225"/>
        <v>12</v>
      </c>
      <c r="AZ263" s="206">
        <f t="shared" si="228"/>
        <v>24</v>
      </c>
      <c r="BA263" s="207">
        <f t="shared" ref="BA263:BB278" si="231">AQ263+AY263</f>
        <v>24</v>
      </c>
      <c r="BB263" s="204">
        <f t="shared" si="231"/>
        <v>48</v>
      </c>
      <c r="BC263" s="208">
        <f t="shared" ref="BC263:BD278" si="232">Y263+AQ263</f>
        <v>213</v>
      </c>
      <c r="BD263" s="209">
        <f t="shared" si="232"/>
        <v>319</v>
      </c>
      <c r="BE263" s="210">
        <f t="shared" ref="BE263:BF278" si="233">AG263+AY263</f>
        <v>379</v>
      </c>
      <c r="BF263" s="211">
        <f t="shared" si="233"/>
        <v>545</v>
      </c>
      <c r="BG263" s="212">
        <f t="shared" ref="BG263:BH278" si="234">BC263+BE263</f>
        <v>592</v>
      </c>
      <c r="BH263" s="213">
        <f t="shared" si="234"/>
        <v>864</v>
      </c>
    </row>
    <row r="264" spans="1:60" ht="21" x14ac:dyDescent="0.3">
      <c r="A264" s="214" t="s">
        <v>1009</v>
      </c>
      <c r="B264" s="306">
        <v>11</v>
      </c>
      <c r="C264" s="180">
        <v>16</v>
      </c>
      <c r="D264" s="215" t="s">
        <v>231</v>
      </c>
      <c r="E264" s="182" t="s">
        <v>1076</v>
      </c>
      <c r="F264" s="183" t="s">
        <v>959</v>
      </c>
      <c r="G264" s="216" t="s">
        <v>1077</v>
      </c>
      <c r="H264" s="217" t="s">
        <v>1078</v>
      </c>
      <c r="I264" s="217" t="s">
        <v>1079</v>
      </c>
      <c r="J264" s="218">
        <v>45925.270833333336</v>
      </c>
      <c r="K264" s="223">
        <f t="shared" si="213"/>
        <v>0.54513888889050577</v>
      </c>
      <c r="L264" s="222">
        <v>2.0833333335758653E-2</v>
      </c>
      <c r="M264" s="189">
        <f t="shared" si="214"/>
        <v>0.52430555555474712</v>
      </c>
      <c r="N264" s="189">
        <f t="shared" si="215"/>
        <v>0.59722222222626442</v>
      </c>
      <c r="O264" s="190">
        <f t="shared" si="216"/>
        <v>40.450331125890187</v>
      </c>
      <c r="P264" s="190">
        <f t="shared" si="217"/>
        <v>38.904458598610724</v>
      </c>
      <c r="Q264" s="191">
        <f t="shared" si="218"/>
        <v>35.511627906736386</v>
      </c>
      <c r="R264" s="192" t="s">
        <v>57</v>
      </c>
      <c r="S264" s="193">
        <v>85</v>
      </c>
      <c r="T264" s="194">
        <v>35</v>
      </c>
      <c r="U264" s="195">
        <v>89</v>
      </c>
      <c r="V264" s="196">
        <v>25</v>
      </c>
      <c r="W264" s="219">
        <v>0</v>
      </c>
      <c r="X264" s="220">
        <v>1</v>
      </c>
      <c r="Y264" s="199">
        <f t="shared" si="229"/>
        <v>235</v>
      </c>
      <c r="Z264" s="200">
        <f t="shared" si="220"/>
        <v>350</v>
      </c>
      <c r="AA264" s="193">
        <v>134</v>
      </c>
      <c r="AB264" s="194">
        <v>0</v>
      </c>
      <c r="AC264" s="195">
        <v>50</v>
      </c>
      <c r="AD264" s="201">
        <v>25</v>
      </c>
      <c r="AE264" s="221">
        <v>0</v>
      </c>
      <c r="AF264" s="220">
        <v>19</v>
      </c>
      <c r="AG264" s="199">
        <f t="shared" si="221"/>
        <v>228</v>
      </c>
      <c r="AH264" s="200">
        <f t="shared" si="222"/>
        <v>322</v>
      </c>
      <c r="AI264" s="203">
        <f t="shared" si="230"/>
        <v>463</v>
      </c>
      <c r="AJ264" s="204">
        <f t="shared" si="230"/>
        <v>672</v>
      </c>
      <c r="AK264" s="193">
        <v>0</v>
      </c>
      <c r="AL264" s="194">
        <v>0</v>
      </c>
      <c r="AM264" s="195">
        <v>23</v>
      </c>
      <c r="AN264" s="196">
        <v>0</v>
      </c>
      <c r="AO264" s="219">
        <v>0</v>
      </c>
      <c r="AP264" s="220">
        <v>0</v>
      </c>
      <c r="AQ264" s="205">
        <f t="shared" si="223"/>
        <v>23</v>
      </c>
      <c r="AR264" s="206">
        <f t="shared" si="224"/>
        <v>46</v>
      </c>
      <c r="AS264" s="193">
        <v>0</v>
      </c>
      <c r="AT264" s="194">
        <v>0</v>
      </c>
      <c r="AU264" s="195">
        <v>23</v>
      </c>
      <c r="AV264" s="196">
        <v>0</v>
      </c>
      <c r="AW264" s="219">
        <v>0</v>
      </c>
      <c r="AX264" s="220">
        <v>0</v>
      </c>
      <c r="AY264" s="205">
        <f t="shared" si="225"/>
        <v>23</v>
      </c>
      <c r="AZ264" s="206">
        <f t="shared" si="228"/>
        <v>46</v>
      </c>
      <c r="BA264" s="207">
        <f t="shared" si="231"/>
        <v>46</v>
      </c>
      <c r="BB264" s="204">
        <f t="shared" si="231"/>
        <v>92</v>
      </c>
      <c r="BC264" s="208">
        <f t="shared" si="232"/>
        <v>258</v>
      </c>
      <c r="BD264" s="209">
        <f t="shared" si="232"/>
        <v>396</v>
      </c>
      <c r="BE264" s="210">
        <f t="shared" si="233"/>
        <v>251</v>
      </c>
      <c r="BF264" s="211">
        <f t="shared" si="233"/>
        <v>368</v>
      </c>
      <c r="BG264" s="212">
        <f t="shared" si="234"/>
        <v>509</v>
      </c>
      <c r="BH264" s="213">
        <f t="shared" si="234"/>
        <v>764</v>
      </c>
    </row>
    <row r="265" spans="1:60" ht="21" x14ac:dyDescent="0.3">
      <c r="A265" s="214" t="s">
        <v>1009</v>
      </c>
      <c r="B265" s="306">
        <v>12</v>
      </c>
      <c r="C265" s="180">
        <v>17</v>
      </c>
      <c r="D265" s="215" t="s">
        <v>51</v>
      </c>
      <c r="E265" s="182" t="s">
        <v>1080</v>
      </c>
      <c r="F265" s="183" t="s">
        <v>990</v>
      </c>
      <c r="G265" s="216" t="s">
        <v>1081</v>
      </c>
      <c r="H265" s="217" t="s">
        <v>1082</v>
      </c>
      <c r="I265" s="217" t="s">
        <v>1083</v>
      </c>
      <c r="J265" s="218">
        <v>45926.125</v>
      </c>
      <c r="K265" s="223">
        <f t="shared" si="213"/>
        <v>0.46736111111385981</v>
      </c>
      <c r="L265" s="222">
        <v>0</v>
      </c>
      <c r="M265" s="189">
        <f t="shared" si="214"/>
        <v>0.46736111111385981</v>
      </c>
      <c r="N265" s="189">
        <f t="shared" si="215"/>
        <v>0.5</v>
      </c>
      <c r="O265" s="190">
        <f t="shared" si="216"/>
        <v>54.115898959562855</v>
      </c>
      <c r="P265" s="190">
        <f t="shared" si="217"/>
        <v>54.115898959562855</v>
      </c>
      <c r="Q265" s="191">
        <f t="shared" si="218"/>
        <v>50.583333333333336</v>
      </c>
      <c r="R265" s="192" t="s">
        <v>57</v>
      </c>
      <c r="S265" s="193">
        <v>167</v>
      </c>
      <c r="T265" s="194">
        <v>27</v>
      </c>
      <c r="U265" s="195">
        <v>79</v>
      </c>
      <c r="V265" s="196">
        <v>40</v>
      </c>
      <c r="W265" s="219">
        <v>0</v>
      </c>
      <c r="X265" s="220">
        <v>0</v>
      </c>
      <c r="Y265" s="199">
        <f t="shared" si="229"/>
        <v>313</v>
      </c>
      <c r="Z265" s="200">
        <f t="shared" si="220"/>
        <v>432</v>
      </c>
      <c r="AA265" s="193">
        <v>138</v>
      </c>
      <c r="AB265" s="194">
        <v>0</v>
      </c>
      <c r="AC265" s="195">
        <v>100</v>
      </c>
      <c r="AD265" s="201">
        <v>25</v>
      </c>
      <c r="AE265" s="221">
        <v>0</v>
      </c>
      <c r="AF265" s="220">
        <v>31</v>
      </c>
      <c r="AG265" s="199">
        <f t="shared" si="221"/>
        <v>294</v>
      </c>
      <c r="AH265" s="200">
        <f t="shared" si="222"/>
        <v>450</v>
      </c>
      <c r="AI265" s="203">
        <f t="shared" si="230"/>
        <v>607</v>
      </c>
      <c r="AJ265" s="204">
        <f t="shared" si="230"/>
        <v>882</v>
      </c>
      <c r="AK265" s="193">
        <v>0</v>
      </c>
      <c r="AL265" s="194">
        <v>0</v>
      </c>
      <c r="AM265" s="195">
        <v>0</v>
      </c>
      <c r="AN265" s="196">
        <v>0</v>
      </c>
      <c r="AO265" s="219">
        <v>0</v>
      </c>
      <c r="AP265" s="220">
        <v>0</v>
      </c>
      <c r="AQ265" s="205">
        <f t="shared" si="223"/>
        <v>0</v>
      </c>
      <c r="AR265" s="206">
        <f t="shared" si="224"/>
        <v>0</v>
      </c>
      <c r="AS265" s="193">
        <v>0</v>
      </c>
      <c r="AT265" s="194">
        <v>0</v>
      </c>
      <c r="AU265" s="195">
        <v>0</v>
      </c>
      <c r="AV265" s="196">
        <v>0</v>
      </c>
      <c r="AW265" s="219">
        <v>0</v>
      </c>
      <c r="AX265" s="220">
        <v>0</v>
      </c>
      <c r="AY265" s="205">
        <f t="shared" si="225"/>
        <v>0</v>
      </c>
      <c r="AZ265" s="206">
        <f t="shared" si="228"/>
        <v>0</v>
      </c>
      <c r="BA265" s="207">
        <f t="shared" si="231"/>
        <v>0</v>
      </c>
      <c r="BB265" s="204">
        <f t="shared" si="231"/>
        <v>0</v>
      </c>
      <c r="BC265" s="208">
        <f t="shared" si="232"/>
        <v>313</v>
      </c>
      <c r="BD265" s="209">
        <f t="shared" si="232"/>
        <v>432</v>
      </c>
      <c r="BE265" s="210">
        <f t="shared" si="233"/>
        <v>294</v>
      </c>
      <c r="BF265" s="211">
        <f t="shared" si="233"/>
        <v>450</v>
      </c>
      <c r="BG265" s="212">
        <f t="shared" si="234"/>
        <v>607</v>
      </c>
      <c r="BH265" s="213">
        <f t="shared" si="234"/>
        <v>882</v>
      </c>
    </row>
    <row r="266" spans="1:60" ht="21" x14ac:dyDescent="0.3">
      <c r="A266" s="214" t="s">
        <v>1009</v>
      </c>
      <c r="B266" s="306">
        <v>13</v>
      </c>
      <c r="C266" s="180">
        <v>18</v>
      </c>
      <c r="D266" s="215" t="s">
        <v>655</v>
      </c>
      <c r="E266" s="182" t="s">
        <v>1084</v>
      </c>
      <c r="F266" s="183" t="s">
        <v>1085</v>
      </c>
      <c r="G266" s="216" t="s">
        <v>1086</v>
      </c>
      <c r="H266" s="217" t="s">
        <v>1087</v>
      </c>
      <c r="I266" s="217" t="s">
        <v>1088</v>
      </c>
      <c r="J266" s="218">
        <v>45927.583333333336</v>
      </c>
      <c r="K266" s="223">
        <f t="shared" si="213"/>
        <v>0.42569444444961846</v>
      </c>
      <c r="L266" s="222">
        <v>0</v>
      </c>
      <c r="M266" s="189">
        <f t="shared" si="214"/>
        <v>0.42569444444961846</v>
      </c>
      <c r="N266" s="189">
        <f t="shared" si="215"/>
        <v>0.65277777778101154</v>
      </c>
      <c r="O266" s="190">
        <f t="shared" si="216"/>
        <v>29.755301794091853</v>
      </c>
      <c r="P266" s="190">
        <f t="shared" si="217"/>
        <v>29.755301794091853</v>
      </c>
      <c r="Q266" s="191">
        <f t="shared" si="218"/>
        <v>19.404255319052812</v>
      </c>
      <c r="R266" s="192" t="s">
        <v>57</v>
      </c>
      <c r="S266" s="193">
        <v>87</v>
      </c>
      <c r="T266" s="194">
        <v>0</v>
      </c>
      <c r="U266" s="195">
        <v>60</v>
      </c>
      <c r="V266" s="196">
        <v>0</v>
      </c>
      <c r="W266" s="219">
        <v>0</v>
      </c>
      <c r="X266" s="220">
        <v>0</v>
      </c>
      <c r="Y266" s="199">
        <f t="shared" si="229"/>
        <v>147</v>
      </c>
      <c r="Z266" s="200">
        <f t="shared" si="220"/>
        <v>207</v>
      </c>
      <c r="AA266" s="193">
        <v>103</v>
      </c>
      <c r="AB266" s="194">
        <v>0</v>
      </c>
      <c r="AC266" s="195">
        <v>51</v>
      </c>
      <c r="AD266" s="201">
        <v>0</v>
      </c>
      <c r="AE266" s="221">
        <v>0</v>
      </c>
      <c r="AF266" s="220">
        <v>3</v>
      </c>
      <c r="AG266" s="199">
        <f t="shared" si="221"/>
        <v>157</v>
      </c>
      <c r="AH266" s="200">
        <f t="shared" si="222"/>
        <v>211</v>
      </c>
      <c r="AI266" s="203">
        <f t="shared" si="230"/>
        <v>304</v>
      </c>
      <c r="AJ266" s="204">
        <f t="shared" si="230"/>
        <v>418</v>
      </c>
      <c r="AK266" s="193">
        <v>0</v>
      </c>
      <c r="AL266" s="194">
        <v>0</v>
      </c>
      <c r="AM266" s="195">
        <v>0</v>
      </c>
      <c r="AN266" s="196">
        <v>0</v>
      </c>
      <c r="AO266" s="219">
        <v>0</v>
      </c>
      <c r="AP266" s="220">
        <v>0</v>
      </c>
      <c r="AQ266" s="205">
        <f t="shared" si="223"/>
        <v>0</v>
      </c>
      <c r="AR266" s="206">
        <f t="shared" si="224"/>
        <v>0</v>
      </c>
      <c r="AS266" s="193">
        <v>0</v>
      </c>
      <c r="AT266" s="194">
        <v>0</v>
      </c>
      <c r="AU266" s="195">
        <v>0</v>
      </c>
      <c r="AV266" s="196">
        <v>0</v>
      </c>
      <c r="AW266" s="219">
        <v>0</v>
      </c>
      <c r="AX266" s="220">
        <v>0</v>
      </c>
      <c r="AY266" s="205">
        <f t="shared" si="225"/>
        <v>0</v>
      </c>
      <c r="AZ266" s="206">
        <f t="shared" si="228"/>
        <v>0</v>
      </c>
      <c r="BA266" s="207">
        <f t="shared" si="231"/>
        <v>0</v>
      </c>
      <c r="BB266" s="204">
        <f t="shared" si="231"/>
        <v>0</v>
      </c>
      <c r="BC266" s="208">
        <f t="shared" si="232"/>
        <v>147</v>
      </c>
      <c r="BD266" s="209">
        <f t="shared" si="232"/>
        <v>207</v>
      </c>
      <c r="BE266" s="210">
        <f t="shared" si="233"/>
        <v>157</v>
      </c>
      <c r="BF266" s="211">
        <f t="shared" si="233"/>
        <v>211</v>
      </c>
      <c r="BG266" s="212">
        <f t="shared" si="234"/>
        <v>304</v>
      </c>
      <c r="BH266" s="213">
        <f t="shared" si="234"/>
        <v>418</v>
      </c>
    </row>
    <row r="267" spans="1:60" ht="21.6" thickBot="1" x14ac:dyDescent="0.35">
      <c r="A267" s="214" t="s">
        <v>1009</v>
      </c>
      <c r="B267" s="306">
        <v>6</v>
      </c>
      <c r="C267" s="180">
        <v>19</v>
      </c>
      <c r="D267" s="215" t="s">
        <v>79</v>
      </c>
      <c r="E267" s="182" t="s">
        <v>1089</v>
      </c>
      <c r="F267" s="183" t="s">
        <v>1012</v>
      </c>
      <c r="G267" s="216" t="s">
        <v>1090</v>
      </c>
      <c r="H267" s="217" t="s">
        <v>1091</v>
      </c>
      <c r="I267" s="217" t="s">
        <v>1092</v>
      </c>
      <c r="J267" s="218">
        <v>45927.666666666664</v>
      </c>
      <c r="K267" s="223">
        <f t="shared" si="213"/>
        <v>0.47569444444525288</v>
      </c>
      <c r="L267" s="222">
        <v>0</v>
      </c>
      <c r="M267" s="189">
        <f t="shared" si="214"/>
        <v>0.47569444444525288</v>
      </c>
      <c r="N267" s="189">
        <f t="shared" si="215"/>
        <v>0.53472222221898846</v>
      </c>
      <c r="O267" s="190">
        <f t="shared" si="216"/>
        <v>53.343065693340002</v>
      </c>
      <c r="P267" s="190">
        <f t="shared" si="217"/>
        <v>53.343065693340002</v>
      </c>
      <c r="Q267" s="191">
        <f t="shared" si="218"/>
        <v>47.454545454832441</v>
      </c>
      <c r="R267" s="192" t="s">
        <v>71</v>
      </c>
      <c r="S267" s="193">
        <v>130</v>
      </c>
      <c r="T267" s="194">
        <v>2</v>
      </c>
      <c r="U267" s="195">
        <v>154</v>
      </c>
      <c r="V267" s="196">
        <v>22</v>
      </c>
      <c r="W267" s="219">
        <v>0</v>
      </c>
      <c r="X267" s="220">
        <v>3</v>
      </c>
      <c r="Y267" s="199">
        <f t="shared" si="229"/>
        <v>311</v>
      </c>
      <c r="Z267" s="200">
        <f t="shared" si="220"/>
        <v>490</v>
      </c>
      <c r="AA267" s="193">
        <v>110</v>
      </c>
      <c r="AB267" s="194">
        <v>18</v>
      </c>
      <c r="AC267" s="195">
        <v>135</v>
      </c>
      <c r="AD267" s="201">
        <v>30</v>
      </c>
      <c r="AE267" s="221">
        <v>0</v>
      </c>
      <c r="AF267" s="220">
        <v>5</v>
      </c>
      <c r="AG267" s="199">
        <f t="shared" si="221"/>
        <v>298</v>
      </c>
      <c r="AH267" s="200">
        <f t="shared" si="222"/>
        <v>468</v>
      </c>
      <c r="AI267" s="203">
        <f t="shared" si="230"/>
        <v>609</v>
      </c>
      <c r="AJ267" s="204">
        <f t="shared" si="230"/>
        <v>958</v>
      </c>
      <c r="AK267" s="193">
        <v>0</v>
      </c>
      <c r="AL267" s="194">
        <v>0</v>
      </c>
      <c r="AM267" s="195">
        <v>0</v>
      </c>
      <c r="AN267" s="196">
        <v>0</v>
      </c>
      <c r="AO267" s="219">
        <v>0</v>
      </c>
      <c r="AP267" s="220">
        <v>0</v>
      </c>
      <c r="AQ267" s="205">
        <f t="shared" si="223"/>
        <v>0</v>
      </c>
      <c r="AR267" s="206">
        <f t="shared" si="224"/>
        <v>0</v>
      </c>
      <c r="AS267" s="193">
        <v>0</v>
      </c>
      <c r="AT267" s="194">
        <v>0</v>
      </c>
      <c r="AU267" s="195">
        <v>0</v>
      </c>
      <c r="AV267" s="196">
        <v>0</v>
      </c>
      <c r="AW267" s="219">
        <v>0</v>
      </c>
      <c r="AX267" s="220">
        <v>0</v>
      </c>
      <c r="AY267" s="205">
        <f t="shared" si="225"/>
        <v>0</v>
      </c>
      <c r="AZ267" s="206">
        <f t="shared" si="228"/>
        <v>0</v>
      </c>
      <c r="BA267" s="207">
        <f t="shared" si="231"/>
        <v>0</v>
      </c>
      <c r="BB267" s="204">
        <f t="shared" si="231"/>
        <v>0</v>
      </c>
      <c r="BC267" s="208">
        <f t="shared" si="232"/>
        <v>311</v>
      </c>
      <c r="BD267" s="209">
        <f t="shared" si="232"/>
        <v>490</v>
      </c>
      <c r="BE267" s="210">
        <f t="shared" si="233"/>
        <v>298</v>
      </c>
      <c r="BF267" s="211">
        <f t="shared" si="233"/>
        <v>468</v>
      </c>
      <c r="BG267" s="212">
        <f t="shared" si="234"/>
        <v>609</v>
      </c>
      <c r="BH267" s="213">
        <f t="shared" si="234"/>
        <v>958</v>
      </c>
    </row>
    <row r="268" spans="1:60" ht="21.6" hidden="1" thickBot="1" x14ac:dyDescent="0.35">
      <c r="A268" s="214" t="s">
        <v>1009</v>
      </c>
      <c r="B268" s="228"/>
      <c r="C268" s="180"/>
      <c r="D268" s="215"/>
      <c r="E268" s="182"/>
      <c r="F268" s="183"/>
      <c r="G268" s="216"/>
      <c r="H268" s="217"/>
      <c r="I268" s="217"/>
      <c r="J268" s="218"/>
      <c r="K268" s="223">
        <f t="shared" si="213"/>
        <v>0</v>
      </c>
      <c r="L268" s="222"/>
      <c r="M268" s="229"/>
      <c r="N268" s="229">
        <f t="shared" si="215"/>
        <v>0</v>
      </c>
      <c r="O268" s="230"/>
      <c r="P268" s="230"/>
      <c r="Q268" s="231"/>
      <c r="R268" s="192"/>
      <c r="S268" s="193"/>
      <c r="T268" s="194"/>
      <c r="U268" s="195"/>
      <c r="V268" s="196"/>
      <c r="W268" s="219"/>
      <c r="X268" s="220"/>
      <c r="Y268" s="199">
        <f t="shared" ref="Y268:Y277" si="235">SUM(S268:X268)</f>
        <v>0</v>
      </c>
      <c r="Z268" s="200">
        <f t="shared" si="220"/>
        <v>0</v>
      </c>
      <c r="AA268" s="193"/>
      <c r="AB268" s="194"/>
      <c r="AC268" s="195"/>
      <c r="AD268" s="201"/>
      <c r="AE268" s="221"/>
      <c r="AF268" s="220"/>
      <c r="AG268" s="199">
        <f t="shared" si="221"/>
        <v>0</v>
      </c>
      <c r="AH268" s="200">
        <f t="shared" si="222"/>
        <v>0</v>
      </c>
      <c r="AI268" s="203">
        <f t="shared" si="230"/>
        <v>0</v>
      </c>
      <c r="AJ268" s="204">
        <f t="shared" si="230"/>
        <v>0</v>
      </c>
      <c r="AK268" s="193"/>
      <c r="AL268" s="194"/>
      <c r="AM268" s="195"/>
      <c r="AN268" s="196"/>
      <c r="AO268" s="219"/>
      <c r="AP268" s="220"/>
      <c r="AQ268" s="205">
        <f t="shared" si="223"/>
        <v>0</v>
      </c>
      <c r="AR268" s="206">
        <f t="shared" si="224"/>
        <v>0</v>
      </c>
      <c r="AS268" s="193"/>
      <c r="AT268" s="194"/>
      <c r="AU268" s="195"/>
      <c r="AV268" s="196"/>
      <c r="AW268" s="219"/>
      <c r="AX268" s="220"/>
      <c r="AY268" s="205">
        <f t="shared" si="225"/>
        <v>0</v>
      </c>
      <c r="AZ268" s="206">
        <f t="shared" si="228"/>
        <v>0</v>
      </c>
      <c r="BA268" s="207">
        <f t="shared" si="231"/>
        <v>0</v>
      </c>
      <c r="BB268" s="204">
        <f t="shared" si="231"/>
        <v>0</v>
      </c>
      <c r="BC268" s="208">
        <f t="shared" si="232"/>
        <v>0</v>
      </c>
      <c r="BD268" s="209">
        <f t="shared" si="232"/>
        <v>0</v>
      </c>
      <c r="BE268" s="210">
        <f t="shared" si="233"/>
        <v>0</v>
      </c>
      <c r="BF268" s="211">
        <f t="shared" si="233"/>
        <v>0</v>
      </c>
      <c r="BG268" s="212">
        <f t="shared" si="234"/>
        <v>0</v>
      </c>
      <c r="BH268" s="213">
        <f t="shared" si="234"/>
        <v>0</v>
      </c>
    </row>
    <row r="269" spans="1:60" s="325" customFormat="1" ht="21.6" hidden="1" thickBot="1" x14ac:dyDescent="0.35">
      <c r="A269" s="214" t="s">
        <v>1009</v>
      </c>
      <c r="B269" s="228"/>
      <c r="C269" s="180"/>
      <c r="D269" s="215"/>
      <c r="E269" s="182"/>
      <c r="F269" s="183"/>
      <c r="G269" s="216"/>
      <c r="H269" s="217"/>
      <c r="I269" s="217"/>
      <c r="J269" s="218"/>
      <c r="K269" s="223">
        <f t="shared" si="213"/>
        <v>0</v>
      </c>
      <c r="L269" s="222"/>
      <c r="M269" s="229"/>
      <c r="N269" s="229">
        <f t="shared" si="215"/>
        <v>0</v>
      </c>
      <c r="O269" s="230"/>
      <c r="P269" s="230"/>
      <c r="Q269" s="231"/>
      <c r="R269" s="192"/>
      <c r="S269" s="193"/>
      <c r="T269" s="194"/>
      <c r="U269" s="195"/>
      <c r="V269" s="196"/>
      <c r="W269" s="219"/>
      <c r="X269" s="220"/>
      <c r="Y269" s="199">
        <f t="shared" si="235"/>
        <v>0</v>
      </c>
      <c r="Z269" s="200">
        <f t="shared" si="220"/>
        <v>0</v>
      </c>
      <c r="AA269" s="193"/>
      <c r="AB269" s="194"/>
      <c r="AC269" s="195"/>
      <c r="AD269" s="201"/>
      <c r="AE269" s="221"/>
      <c r="AF269" s="220"/>
      <c r="AG269" s="199">
        <f t="shared" si="221"/>
        <v>0</v>
      </c>
      <c r="AH269" s="200">
        <f t="shared" si="222"/>
        <v>0</v>
      </c>
      <c r="AI269" s="203">
        <f t="shared" si="230"/>
        <v>0</v>
      </c>
      <c r="AJ269" s="204">
        <f t="shared" si="230"/>
        <v>0</v>
      </c>
      <c r="AK269" s="193"/>
      <c r="AL269" s="194"/>
      <c r="AM269" s="195"/>
      <c r="AN269" s="196"/>
      <c r="AO269" s="219"/>
      <c r="AP269" s="220"/>
      <c r="AQ269" s="205">
        <f t="shared" si="223"/>
        <v>0</v>
      </c>
      <c r="AR269" s="206">
        <f t="shared" si="224"/>
        <v>0</v>
      </c>
      <c r="AS269" s="193"/>
      <c r="AT269" s="194"/>
      <c r="AU269" s="195"/>
      <c r="AV269" s="196"/>
      <c r="AW269" s="219"/>
      <c r="AX269" s="220"/>
      <c r="AY269" s="205">
        <f t="shared" si="225"/>
        <v>0</v>
      </c>
      <c r="AZ269" s="206">
        <f t="shared" si="228"/>
        <v>0</v>
      </c>
      <c r="BA269" s="207">
        <f t="shared" si="231"/>
        <v>0</v>
      </c>
      <c r="BB269" s="204">
        <f t="shared" si="231"/>
        <v>0</v>
      </c>
      <c r="BC269" s="208">
        <f t="shared" si="232"/>
        <v>0</v>
      </c>
      <c r="BD269" s="209">
        <f t="shared" si="232"/>
        <v>0</v>
      </c>
      <c r="BE269" s="210">
        <f t="shared" si="233"/>
        <v>0</v>
      </c>
      <c r="BF269" s="211">
        <f t="shared" si="233"/>
        <v>0</v>
      </c>
      <c r="BG269" s="212">
        <f t="shared" si="234"/>
        <v>0</v>
      </c>
      <c r="BH269" s="213">
        <f t="shared" si="234"/>
        <v>0</v>
      </c>
    </row>
    <row r="270" spans="1:60" ht="21.6" hidden="1" thickBot="1" x14ac:dyDescent="0.35">
      <c r="A270" s="214" t="s">
        <v>1009</v>
      </c>
      <c r="B270" s="228"/>
      <c r="C270" s="180"/>
      <c r="D270" s="215"/>
      <c r="E270" s="182"/>
      <c r="F270" s="183"/>
      <c r="G270" s="216"/>
      <c r="H270" s="217"/>
      <c r="I270" s="217"/>
      <c r="J270" s="218"/>
      <c r="K270" s="223">
        <f t="shared" si="213"/>
        <v>0</v>
      </c>
      <c r="L270" s="222"/>
      <c r="M270" s="229"/>
      <c r="N270" s="229">
        <f t="shared" si="215"/>
        <v>0</v>
      </c>
      <c r="O270" s="230"/>
      <c r="P270" s="230"/>
      <c r="Q270" s="231"/>
      <c r="R270" s="192"/>
      <c r="S270" s="193"/>
      <c r="T270" s="194"/>
      <c r="U270" s="195"/>
      <c r="V270" s="196"/>
      <c r="W270" s="219"/>
      <c r="X270" s="220"/>
      <c r="Y270" s="199">
        <f t="shared" si="235"/>
        <v>0</v>
      </c>
      <c r="Z270" s="200">
        <f t="shared" si="220"/>
        <v>0</v>
      </c>
      <c r="AA270" s="193"/>
      <c r="AB270" s="194"/>
      <c r="AC270" s="195"/>
      <c r="AD270" s="201"/>
      <c r="AE270" s="221"/>
      <c r="AF270" s="220"/>
      <c r="AG270" s="199">
        <f t="shared" si="221"/>
        <v>0</v>
      </c>
      <c r="AH270" s="200">
        <f t="shared" si="222"/>
        <v>0</v>
      </c>
      <c r="AI270" s="203">
        <f t="shared" si="230"/>
        <v>0</v>
      </c>
      <c r="AJ270" s="204">
        <f t="shared" si="230"/>
        <v>0</v>
      </c>
      <c r="AK270" s="193"/>
      <c r="AL270" s="194"/>
      <c r="AM270" s="195"/>
      <c r="AN270" s="196"/>
      <c r="AO270" s="219"/>
      <c r="AP270" s="220"/>
      <c r="AQ270" s="205">
        <f t="shared" si="223"/>
        <v>0</v>
      </c>
      <c r="AR270" s="206">
        <f t="shared" si="224"/>
        <v>0</v>
      </c>
      <c r="AS270" s="193"/>
      <c r="AT270" s="194"/>
      <c r="AU270" s="195"/>
      <c r="AV270" s="196"/>
      <c r="AW270" s="219"/>
      <c r="AX270" s="220"/>
      <c r="AY270" s="205">
        <f t="shared" si="225"/>
        <v>0</v>
      </c>
      <c r="AZ270" s="206">
        <f t="shared" si="228"/>
        <v>0</v>
      </c>
      <c r="BA270" s="207">
        <f t="shared" si="231"/>
        <v>0</v>
      </c>
      <c r="BB270" s="204">
        <f t="shared" si="231"/>
        <v>0</v>
      </c>
      <c r="BC270" s="208">
        <f t="shared" si="232"/>
        <v>0</v>
      </c>
      <c r="BD270" s="209">
        <f t="shared" si="232"/>
        <v>0</v>
      </c>
      <c r="BE270" s="210">
        <f t="shared" si="233"/>
        <v>0</v>
      </c>
      <c r="BF270" s="211">
        <f t="shared" si="233"/>
        <v>0</v>
      </c>
      <c r="BG270" s="212">
        <f t="shared" si="234"/>
        <v>0</v>
      </c>
      <c r="BH270" s="213">
        <f t="shared" si="234"/>
        <v>0</v>
      </c>
    </row>
    <row r="271" spans="1:60" ht="21.6" hidden="1" thickBot="1" x14ac:dyDescent="0.35">
      <c r="A271" s="214" t="s">
        <v>1009</v>
      </c>
      <c r="B271" s="228"/>
      <c r="C271" s="180"/>
      <c r="D271" s="215"/>
      <c r="E271" s="182"/>
      <c r="F271" s="183"/>
      <c r="G271" s="216"/>
      <c r="H271" s="217"/>
      <c r="I271" s="217"/>
      <c r="J271" s="218"/>
      <c r="K271" s="223">
        <f t="shared" si="213"/>
        <v>0</v>
      </c>
      <c r="L271" s="222"/>
      <c r="M271" s="229"/>
      <c r="N271" s="229">
        <f t="shared" si="215"/>
        <v>0</v>
      </c>
      <c r="O271" s="230"/>
      <c r="P271" s="230"/>
      <c r="Q271" s="231"/>
      <c r="R271" s="192"/>
      <c r="S271" s="193"/>
      <c r="T271" s="194"/>
      <c r="U271" s="195"/>
      <c r="V271" s="196"/>
      <c r="W271" s="219"/>
      <c r="X271" s="220"/>
      <c r="Y271" s="199">
        <f t="shared" si="235"/>
        <v>0</v>
      </c>
      <c r="Z271" s="200">
        <f t="shared" si="220"/>
        <v>0</v>
      </c>
      <c r="AA271" s="193"/>
      <c r="AB271" s="194"/>
      <c r="AC271" s="195"/>
      <c r="AD271" s="201"/>
      <c r="AE271" s="221"/>
      <c r="AF271" s="220"/>
      <c r="AG271" s="199">
        <f t="shared" si="221"/>
        <v>0</v>
      </c>
      <c r="AH271" s="200">
        <f t="shared" si="222"/>
        <v>0</v>
      </c>
      <c r="AI271" s="203">
        <f t="shared" si="230"/>
        <v>0</v>
      </c>
      <c r="AJ271" s="204">
        <f t="shared" si="230"/>
        <v>0</v>
      </c>
      <c r="AK271" s="193"/>
      <c r="AL271" s="194"/>
      <c r="AM271" s="195"/>
      <c r="AN271" s="196"/>
      <c r="AO271" s="219"/>
      <c r="AP271" s="220"/>
      <c r="AQ271" s="205">
        <f t="shared" si="223"/>
        <v>0</v>
      </c>
      <c r="AR271" s="206">
        <f t="shared" si="224"/>
        <v>0</v>
      </c>
      <c r="AS271" s="193"/>
      <c r="AT271" s="194"/>
      <c r="AU271" s="195"/>
      <c r="AV271" s="196"/>
      <c r="AW271" s="219"/>
      <c r="AX271" s="220"/>
      <c r="AY271" s="205">
        <f t="shared" si="225"/>
        <v>0</v>
      </c>
      <c r="AZ271" s="206">
        <f t="shared" si="228"/>
        <v>0</v>
      </c>
      <c r="BA271" s="207">
        <f t="shared" si="231"/>
        <v>0</v>
      </c>
      <c r="BB271" s="204">
        <f t="shared" si="231"/>
        <v>0</v>
      </c>
      <c r="BC271" s="208">
        <f t="shared" si="232"/>
        <v>0</v>
      </c>
      <c r="BD271" s="209">
        <f t="shared" si="232"/>
        <v>0</v>
      </c>
      <c r="BE271" s="210">
        <f t="shared" si="233"/>
        <v>0</v>
      </c>
      <c r="BF271" s="211">
        <f t="shared" si="233"/>
        <v>0</v>
      </c>
      <c r="BG271" s="212">
        <f t="shared" si="234"/>
        <v>0</v>
      </c>
      <c r="BH271" s="213">
        <f t="shared" si="234"/>
        <v>0</v>
      </c>
    </row>
    <row r="272" spans="1:60" ht="21.6" hidden="1" thickBot="1" x14ac:dyDescent="0.35">
      <c r="A272" s="214" t="s">
        <v>1009</v>
      </c>
      <c r="B272" s="228"/>
      <c r="C272" s="180"/>
      <c r="D272" s="215"/>
      <c r="E272" s="182"/>
      <c r="F272" s="183"/>
      <c r="G272" s="216"/>
      <c r="H272" s="217"/>
      <c r="I272" s="217"/>
      <c r="J272" s="218"/>
      <c r="K272" s="223">
        <f t="shared" si="213"/>
        <v>0</v>
      </c>
      <c r="L272" s="222"/>
      <c r="M272" s="229"/>
      <c r="N272" s="229">
        <f t="shared" si="215"/>
        <v>0</v>
      </c>
      <c r="O272" s="230"/>
      <c r="P272" s="230"/>
      <c r="Q272" s="231"/>
      <c r="R272" s="192"/>
      <c r="S272" s="193"/>
      <c r="T272" s="194"/>
      <c r="U272" s="195"/>
      <c r="V272" s="196"/>
      <c r="W272" s="219"/>
      <c r="X272" s="220"/>
      <c r="Y272" s="199">
        <f t="shared" si="235"/>
        <v>0</v>
      </c>
      <c r="Z272" s="200">
        <f t="shared" si="220"/>
        <v>0</v>
      </c>
      <c r="AA272" s="193"/>
      <c r="AB272" s="194"/>
      <c r="AC272" s="195"/>
      <c r="AD272" s="201"/>
      <c r="AE272" s="221"/>
      <c r="AF272" s="220"/>
      <c r="AG272" s="199">
        <f t="shared" si="221"/>
        <v>0</v>
      </c>
      <c r="AH272" s="200">
        <f t="shared" si="222"/>
        <v>0</v>
      </c>
      <c r="AI272" s="203">
        <f t="shared" si="230"/>
        <v>0</v>
      </c>
      <c r="AJ272" s="204">
        <f t="shared" si="230"/>
        <v>0</v>
      </c>
      <c r="AK272" s="193"/>
      <c r="AL272" s="194"/>
      <c r="AM272" s="195"/>
      <c r="AN272" s="196"/>
      <c r="AO272" s="219"/>
      <c r="AP272" s="220"/>
      <c r="AQ272" s="205">
        <f t="shared" si="223"/>
        <v>0</v>
      </c>
      <c r="AR272" s="206">
        <f t="shared" si="224"/>
        <v>0</v>
      </c>
      <c r="AS272" s="193"/>
      <c r="AT272" s="194"/>
      <c r="AU272" s="195"/>
      <c r="AV272" s="196"/>
      <c r="AW272" s="219"/>
      <c r="AX272" s="220"/>
      <c r="AY272" s="205">
        <f t="shared" si="225"/>
        <v>0</v>
      </c>
      <c r="AZ272" s="206">
        <f t="shared" si="228"/>
        <v>0</v>
      </c>
      <c r="BA272" s="207">
        <f t="shared" si="231"/>
        <v>0</v>
      </c>
      <c r="BB272" s="204">
        <f t="shared" si="231"/>
        <v>0</v>
      </c>
      <c r="BC272" s="208">
        <f t="shared" si="232"/>
        <v>0</v>
      </c>
      <c r="BD272" s="209">
        <f t="shared" si="232"/>
        <v>0</v>
      </c>
      <c r="BE272" s="210">
        <f t="shared" si="233"/>
        <v>0</v>
      </c>
      <c r="BF272" s="211">
        <f t="shared" si="233"/>
        <v>0</v>
      </c>
      <c r="BG272" s="212">
        <f t="shared" si="234"/>
        <v>0</v>
      </c>
      <c r="BH272" s="213">
        <f t="shared" si="234"/>
        <v>0</v>
      </c>
    </row>
    <row r="273" spans="1:60" ht="21.6" hidden="1" thickBot="1" x14ac:dyDescent="0.35">
      <c r="A273" s="214" t="s">
        <v>1009</v>
      </c>
      <c r="B273" s="228"/>
      <c r="C273" s="180"/>
      <c r="D273" s="215"/>
      <c r="E273" s="182"/>
      <c r="F273" s="183"/>
      <c r="G273" s="216"/>
      <c r="H273" s="217"/>
      <c r="I273" s="217"/>
      <c r="J273" s="218"/>
      <c r="K273" s="223">
        <f t="shared" si="213"/>
        <v>0</v>
      </c>
      <c r="L273" s="222"/>
      <c r="M273" s="229"/>
      <c r="N273" s="229">
        <f t="shared" si="215"/>
        <v>0</v>
      </c>
      <c r="O273" s="230"/>
      <c r="P273" s="230"/>
      <c r="Q273" s="231"/>
      <c r="R273" s="192"/>
      <c r="S273" s="193"/>
      <c r="T273" s="194"/>
      <c r="U273" s="195"/>
      <c r="V273" s="196"/>
      <c r="W273" s="232"/>
      <c r="X273" s="233"/>
      <c r="Y273" s="199">
        <f t="shared" si="235"/>
        <v>0</v>
      </c>
      <c r="Z273" s="200">
        <f t="shared" si="220"/>
        <v>0</v>
      </c>
      <c r="AA273" s="193"/>
      <c r="AB273" s="194"/>
      <c r="AC273" s="195"/>
      <c r="AD273" s="201"/>
      <c r="AE273" s="234"/>
      <c r="AF273" s="233"/>
      <c r="AG273" s="199">
        <f t="shared" si="221"/>
        <v>0</v>
      </c>
      <c r="AH273" s="200">
        <f t="shared" si="222"/>
        <v>0</v>
      </c>
      <c r="AI273" s="203">
        <f t="shared" si="230"/>
        <v>0</v>
      </c>
      <c r="AJ273" s="204">
        <f t="shared" si="230"/>
        <v>0</v>
      </c>
      <c r="AK273" s="193"/>
      <c r="AL273" s="194"/>
      <c r="AM273" s="195"/>
      <c r="AN273" s="196"/>
      <c r="AO273" s="232"/>
      <c r="AP273" s="233"/>
      <c r="AQ273" s="205">
        <f t="shared" si="223"/>
        <v>0</v>
      </c>
      <c r="AR273" s="206">
        <f t="shared" si="224"/>
        <v>0</v>
      </c>
      <c r="AS273" s="193"/>
      <c r="AT273" s="194"/>
      <c r="AU273" s="195"/>
      <c r="AV273" s="196"/>
      <c r="AW273" s="232"/>
      <c r="AX273" s="233"/>
      <c r="AY273" s="205">
        <f t="shared" si="225"/>
        <v>0</v>
      </c>
      <c r="AZ273" s="206">
        <f t="shared" si="228"/>
        <v>0</v>
      </c>
      <c r="BA273" s="207">
        <f t="shared" si="231"/>
        <v>0</v>
      </c>
      <c r="BB273" s="204">
        <f t="shared" si="231"/>
        <v>0</v>
      </c>
      <c r="BC273" s="208">
        <f t="shared" si="232"/>
        <v>0</v>
      </c>
      <c r="BD273" s="209">
        <f t="shared" si="232"/>
        <v>0</v>
      </c>
      <c r="BE273" s="210">
        <f t="shared" si="233"/>
        <v>0</v>
      </c>
      <c r="BF273" s="211">
        <f t="shared" si="233"/>
        <v>0</v>
      </c>
      <c r="BG273" s="212">
        <f t="shared" si="234"/>
        <v>0</v>
      </c>
      <c r="BH273" s="213">
        <f t="shared" si="234"/>
        <v>0</v>
      </c>
    </row>
    <row r="274" spans="1:60" ht="21.6" hidden="1" thickBot="1" x14ac:dyDescent="0.35">
      <c r="A274" s="214" t="s">
        <v>1009</v>
      </c>
      <c r="B274" s="228"/>
      <c r="C274" s="180"/>
      <c r="D274" s="215"/>
      <c r="E274" s="182"/>
      <c r="F274" s="183"/>
      <c r="G274" s="216"/>
      <c r="H274" s="217"/>
      <c r="I274" s="217"/>
      <c r="J274" s="218"/>
      <c r="K274" s="223">
        <f t="shared" si="213"/>
        <v>0</v>
      </c>
      <c r="L274" s="222"/>
      <c r="M274" s="229"/>
      <c r="N274" s="229">
        <f t="shared" si="215"/>
        <v>0</v>
      </c>
      <c r="O274" s="230"/>
      <c r="P274" s="230"/>
      <c r="Q274" s="231"/>
      <c r="R274" s="192"/>
      <c r="S274" s="193"/>
      <c r="T274" s="194"/>
      <c r="U274" s="195"/>
      <c r="V274" s="196"/>
      <c r="W274" s="232"/>
      <c r="X274" s="233"/>
      <c r="Y274" s="199">
        <f t="shared" si="235"/>
        <v>0</v>
      </c>
      <c r="Z274" s="200">
        <f t="shared" si="220"/>
        <v>0</v>
      </c>
      <c r="AA274" s="193"/>
      <c r="AB274" s="194"/>
      <c r="AC274" s="195"/>
      <c r="AD274" s="201"/>
      <c r="AE274" s="234"/>
      <c r="AF274" s="233"/>
      <c r="AG274" s="199">
        <f t="shared" si="221"/>
        <v>0</v>
      </c>
      <c r="AH274" s="200">
        <f t="shared" si="222"/>
        <v>0</v>
      </c>
      <c r="AI274" s="203">
        <f t="shared" si="230"/>
        <v>0</v>
      </c>
      <c r="AJ274" s="204">
        <f t="shared" si="230"/>
        <v>0</v>
      </c>
      <c r="AK274" s="193"/>
      <c r="AL274" s="194"/>
      <c r="AM274" s="195"/>
      <c r="AN274" s="196"/>
      <c r="AO274" s="232"/>
      <c r="AP274" s="233"/>
      <c r="AQ274" s="205">
        <f t="shared" si="223"/>
        <v>0</v>
      </c>
      <c r="AR274" s="206">
        <f t="shared" si="224"/>
        <v>0</v>
      </c>
      <c r="AS274" s="193"/>
      <c r="AT274" s="194"/>
      <c r="AU274" s="195"/>
      <c r="AV274" s="196"/>
      <c r="AW274" s="232"/>
      <c r="AX274" s="233"/>
      <c r="AY274" s="205">
        <f t="shared" si="225"/>
        <v>0</v>
      </c>
      <c r="AZ274" s="206">
        <f t="shared" si="228"/>
        <v>0</v>
      </c>
      <c r="BA274" s="207">
        <f t="shared" si="231"/>
        <v>0</v>
      </c>
      <c r="BB274" s="204">
        <f t="shared" si="231"/>
        <v>0</v>
      </c>
      <c r="BC274" s="208">
        <f t="shared" si="232"/>
        <v>0</v>
      </c>
      <c r="BD274" s="209">
        <f t="shared" si="232"/>
        <v>0</v>
      </c>
      <c r="BE274" s="210">
        <f t="shared" si="233"/>
        <v>0</v>
      </c>
      <c r="BF274" s="211">
        <f t="shared" si="233"/>
        <v>0</v>
      </c>
      <c r="BG274" s="212">
        <f t="shared" si="234"/>
        <v>0</v>
      </c>
      <c r="BH274" s="213">
        <f t="shared" si="234"/>
        <v>0</v>
      </c>
    </row>
    <row r="275" spans="1:60" ht="21.6" hidden="1" thickBot="1" x14ac:dyDescent="0.35">
      <c r="A275" s="214" t="s">
        <v>1009</v>
      </c>
      <c r="B275" s="228"/>
      <c r="C275" s="180"/>
      <c r="D275" s="215"/>
      <c r="E275" s="182"/>
      <c r="F275" s="183"/>
      <c r="G275" s="216"/>
      <c r="H275" s="217"/>
      <c r="I275" s="217"/>
      <c r="J275" s="218"/>
      <c r="K275" s="223">
        <f t="shared" si="213"/>
        <v>0</v>
      </c>
      <c r="L275" s="222"/>
      <c r="M275" s="229"/>
      <c r="N275" s="229">
        <f t="shared" si="215"/>
        <v>0</v>
      </c>
      <c r="O275" s="230"/>
      <c r="P275" s="230"/>
      <c r="Q275" s="231"/>
      <c r="R275" s="192"/>
      <c r="S275" s="193"/>
      <c r="T275" s="194"/>
      <c r="U275" s="195"/>
      <c r="V275" s="196"/>
      <c r="W275" s="232"/>
      <c r="X275" s="233"/>
      <c r="Y275" s="199">
        <f t="shared" si="235"/>
        <v>0</v>
      </c>
      <c r="Z275" s="200">
        <f t="shared" si="220"/>
        <v>0</v>
      </c>
      <c r="AA275" s="193"/>
      <c r="AB275" s="194"/>
      <c r="AC275" s="195"/>
      <c r="AD275" s="201"/>
      <c r="AE275" s="234"/>
      <c r="AF275" s="233"/>
      <c r="AG275" s="199">
        <f t="shared" si="221"/>
        <v>0</v>
      </c>
      <c r="AH275" s="200">
        <f t="shared" si="222"/>
        <v>0</v>
      </c>
      <c r="AI275" s="203">
        <f t="shared" si="230"/>
        <v>0</v>
      </c>
      <c r="AJ275" s="204">
        <f t="shared" si="230"/>
        <v>0</v>
      </c>
      <c r="AK275" s="193"/>
      <c r="AL275" s="194"/>
      <c r="AM275" s="195"/>
      <c r="AN275" s="196"/>
      <c r="AO275" s="232"/>
      <c r="AP275" s="233"/>
      <c r="AQ275" s="205">
        <f t="shared" si="223"/>
        <v>0</v>
      </c>
      <c r="AR275" s="206">
        <f t="shared" si="224"/>
        <v>0</v>
      </c>
      <c r="AS275" s="193"/>
      <c r="AT275" s="194"/>
      <c r="AU275" s="195"/>
      <c r="AV275" s="196"/>
      <c r="AW275" s="232"/>
      <c r="AX275" s="233"/>
      <c r="AY275" s="205">
        <f t="shared" si="225"/>
        <v>0</v>
      </c>
      <c r="AZ275" s="206">
        <f t="shared" si="228"/>
        <v>0</v>
      </c>
      <c r="BA275" s="207">
        <f t="shared" si="231"/>
        <v>0</v>
      </c>
      <c r="BB275" s="204">
        <f t="shared" si="231"/>
        <v>0</v>
      </c>
      <c r="BC275" s="208">
        <f t="shared" si="232"/>
        <v>0</v>
      </c>
      <c r="BD275" s="209">
        <f t="shared" si="232"/>
        <v>0</v>
      </c>
      <c r="BE275" s="210">
        <f t="shared" si="233"/>
        <v>0</v>
      </c>
      <c r="BF275" s="211">
        <f t="shared" si="233"/>
        <v>0</v>
      </c>
      <c r="BG275" s="212">
        <f t="shared" si="234"/>
        <v>0</v>
      </c>
      <c r="BH275" s="213">
        <f t="shared" si="234"/>
        <v>0</v>
      </c>
    </row>
    <row r="276" spans="1:60" ht="21.6" hidden="1" thickBot="1" x14ac:dyDescent="0.35">
      <c r="A276" s="214" t="s">
        <v>1009</v>
      </c>
      <c r="B276" s="228"/>
      <c r="C276" s="180"/>
      <c r="D276" s="215"/>
      <c r="E276" s="182"/>
      <c r="F276" s="183"/>
      <c r="G276" s="216"/>
      <c r="H276" s="217"/>
      <c r="I276" s="217"/>
      <c r="J276" s="218"/>
      <c r="K276" s="223">
        <f t="shared" si="213"/>
        <v>0</v>
      </c>
      <c r="L276" s="222"/>
      <c r="M276" s="229"/>
      <c r="N276" s="229">
        <f t="shared" si="215"/>
        <v>0</v>
      </c>
      <c r="O276" s="230"/>
      <c r="P276" s="230"/>
      <c r="Q276" s="231"/>
      <c r="R276" s="192"/>
      <c r="S276" s="193"/>
      <c r="T276" s="194"/>
      <c r="U276" s="195"/>
      <c r="V276" s="196"/>
      <c r="W276" s="232"/>
      <c r="X276" s="233"/>
      <c r="Y276" s="199">
        <f t="shared" si="235"/>
        <v>0</v>
      </c>
      <c r="Z276" s="200">
        <f t="shared" si="220"/>
        <v>0</v>
      </c>
      <c r="AA276" s="193"/>
      <c r="AB276" s="194"/>
      <c r="AC276" s="195"/>
      <c r="AD276" s="201"/>
      <c r="AE276" s="234"/>
      <c r="AF276" s="233"/>
      <c r="AG276" s="199">
        <f t="shared" si="221"/>
        <v>0</v>
      </c>
      <c r="AH276" s="200">
        <f t="shared" si="222"/>
        <v>0</v>
      </c>
      <c r="AI276" s="203">
        <f t="shared" si="230"/>
        <v>0</v>
      </c>
      <c r="AJ276" s="204">
        <f t="shared" si="230"/>
        <v>0</v>
      </c>
      <c r="AK276" s="193"/>
      <c r="AL276" s="194"/>
      <c r="AM276" s="195"/>
      <c r="AN276" s="196"/>
      <c r="AO276" s="232"/>
      <c r="AP276" s="233"/>
      <c r="AQ276" s="205">
        <f t="shared" si="223"/>
        <v>0</v>
      </c>
      <c r="AR276" s="206">
        <f t="shared" si="224"/>
        <v>0</v>
      </c>
      <c r="AS276" s="193"/>
      <c r="AT276" s="194"/>
      <c r="AU276" s="195"/>
      <c r="AV276" s="196"/>
      <c r="AW276" s="232"/>
      <c r="AX276" s="233"/>
      <c r="AY276" s="205">
        <f t="shared" si="225"/>
        <v>0</v>
      </c>
      <c r="AZ276" s="206">
        <f t="shared" si="228"/>
        <v>0</v>
      </c>
      <c r="BA276" s="207">
        <f t="shared" si="231"/>
        <v>0</v>
      </c>
      <c r="BB276" s="204">
        <f t="shared" si="231"/>
        <v>0</v>
      </c>
      <c r="BC276" s="208">
        <f t="shared" si="232"/>
        <v>0</v>
      </c>
      <c r="BD276" s="209">
        <f t="shared" si="232"/>
        <v>0</v>
      </c>
      <c r="BE276" s="210">
        <f t="shared" si="233"/>
        <v>0</v>
      </c>
      <c r="BF276" s="211">
        <f t="shared" si="233"/>
        <v>0</v>
      </c>
      <c r="BG276" s="212">
        <f t="shared" si="234"/>
        <v>0</v>
      </c>
      <c r="BH276" s="213">
        <f t="shared" si="234"/>
        <v>0</v>
      </c>
    </row>
    <row r="277" spans="1:60" ht="21.6" hidden="1" thickBot="1" x14ac:dyDescent="0.35">
      <c r="A277" s="235" t="s">
        <v>1009</v>
      </c>
      <c r="B277" s="228"/>
      <c r="C277" s="180"/>
      <c r="D277" s="215"/>
      <c r="E277" s="182"/>
      <c r="F277" s="183"/>
      <c r="G277" s="236"/>
      <c r="H277" s="237"/>
      <c r="I277" s="237"/>
      <c r="J277" s="238"/>
      <c r="K277" s="223">
        <f t="shared" si="213"/>
        <v>0</v>
      </c>
      <c r="L277" s="222"/>
      <c r="M277" s="229"/>
      <c r="N277" s="229">
        <f t="shared" si="215"/>
        <v>0</v>
      </c>
      <c r="O277" s="230"/>
      <c r="P277" s="230"/>
      <c r="Q277" s="231"/>
      <c r="R277" s="192"/>
      <c r="S277" s="239"/>
      <c r="T277" s="240"/>
      <c r="U277" s="241"/>
      <c r="V277" s="242"/>
      <c r="W277" s="243"/>
      <c r="X277" s="244"/>
      <c r="Y277" s="245">
        <f t="shared" si="235"/>
        <v>0</v>
      </c>
      <c r="Z277" s="200">
        <f t="shared" si="220"/>
        <v>0</v>
      </c>
      <c r="AA277" s="239"/>
      <c r="AB277" s="240"/>
      <c r="AC277" s="241"/>
      <c r="AD277" s="246"/>
      <c r="AE277" s="247"/>
      <c r="AF277" s="244"/>
      <c r="AG277" s="245">
        <f t="shared" si="221"/>
        <v>0</v>
      </c>
      <c r="AH277" s="200">
        <f t="shared" si="222"/>
        <v>0</v>
      </c>
      <c r="AI277" s="248">
        <f t="shared" si="230"/>
        <v>0</v>
      </c>
      <c r="AJ277" s="249">
        <f t="shared" si="230"/>
        <v>0</v>
      </c>
      <c r="AK277" s="193"/>
      <c r="AL277" s="194"/>
      <c r="AM277" s="195"/>
      <c r="AN277" s="196"/>
      <c r="AO277" s="243"/>
      <c r="AP277" s="244"/>
      <c r="AQ277" s="205">
        <f t="shared" si="223"/>
        <v>0</v>
      </c>
      <c r="AR277" s="206">
        <f t="shared" si="224"/>
        <v>0</v>
      </c>
      <c r="AS277" s="193"/>
      <c r="AT277" s="194"/>
      <c r="AU277" s="195"/>
      <c r="AV277" s="196"/>
      <c r="AW277" s="243"/>
      <c r="AX277" s="244"/>
      <c r="AY277" s="205">
        <f t="shared" si="225"/>
        <v>0</v>
      </c>
      <c r="AZ277" s="206">
        <f t="shared" si="228"/>
        <v>0</v>
      </c>
      <c r="BA277" s="207">
        <f t="shared" si="231"/>
        <v>0</v>
      </c>
      <c r="BB277" s="204">
        <f t="shared" si="231"/>
        <v>0</v>
      </c>
      <c r="BC277" s="208">
        <f t="shared" si="232"/>
        <v>0</v>
      </c>
      <c r="BD277" s="209">
        <f t="shared" si="232"/>
        <v>0</v>
      </c>
      <c r="BE277" s="210">
        <f t="shared" si="233"/>
        <v>0</v>
      </c>
      <c r="BF277" s="211">
        <f t="shared" si="233"/>
        <v>0</v>
      </c>
      <c r="BG277" s="212">
        <f t="shared" si="234"/>
        <v>0</v>
      </c>
      <c r="BH277" s="213">
        <f t="shared" si="234"/>
        <v>0</v>
      </c>
    </row>
    <row r="278" spans="1:60" s="153" customFormat="1" ht="23.4" thickBot="1" x14ac:dyDescent="0.35">
      <c r="A278" s="317" t="s">
        <v>1093</v>
      </c>
      <c r="B278" s="317" t="s">
        <v>1093</v>
      </c>
      <c r="C278" s="324" t="s">
        <v>2</v>
      </c>
      <c r="D278" s="252" t="s">
        <v>1094</v>
      </c>
      <c r="E278" s="318" t="s">
        <v>534</v>
      </c>
      <c r="F278" s="159" t="s">
        <v>5</v>
      </c>
      <c r="G278" s="160" t="s">
        <v>6</v>
      </c>
      <c r="H278" s="161" t="s">
        <v>7</v>
      </c>
      <c r="I278" s="161" t="s">
        <v>8</v>
      </c>
      <c r="J278" s="162" t="s">
        <v>9</v>
      </c>
      <c r="K278" s="163" t="s">
        <v>38</v>
      </c>
      <c r="L278" s="164" t="s">
        <v>38</v>
      </c>
      <c r="M278" s="166" t="s">
        <v>38</v>
      </c>
      <c r="N278" s="166" t="s">
        <v>38</v>
      </c>
      <c r="O278" s="165" t="s">
        <v>39</v>
      </c>
      <c r="P278" s="165" t="s">
        <v>39</v>
      </c>
      <c r="Q278" s="254" t="s">
        <v>39</v>
      </c>
      <c r="R278" s="319" t="s">
        <v>17</v>
      </c>
      <c r="S278" s="169">
        <f t="shared" ref="S278:X278" si="236">SUM(S279:S307)</f>
        <v>3106</v>
      </c>
      <c r="T278" s="170">
        <f t="shared" si="236"/>
        <v>136</v>
      </c>
      <c r="U278" s="171">
        <f t="shared" si="236"/>
        <v>3363</v>
      </c>
      <c r="V278" s="172">
        <f t="shared" si="236"/>
        <v>1008</v>
      </c>
      <c r="W278" s="173">
        <f t="shared" si="236"/>
        <v>1</v>
      </c>
      <c r="X278" s="174">
        <f t="shared" si="236"/>
        <v>12</v>
      </c>
      <c r="Y278" s="169">
        <f>SUM(S278:X278)</f>
        <v>7626</v>
      </c>
      <c r="Z278" s="175">
        <f>Y278+SUM(U278:V278)+X278</f>
        <v>12009</v>
      </c>
      <c r="AA278" s="169">
        <f t="shared" ref="AA278:AF278" si="237">SUM(AA279:AA307)</f>
        <v>2921</v>
      </c>
      <c r="AB278" s="170">
        <f t="shared" si="237"/>
        <v>365</v>
      </c>
      <c r="AC278" s="171">
        <f t="shared" si="237"/>
        <v>2957</v>
      </c>
      <c r="AD278" s="320">
        <f t="shared" si="237"/>
        <v>1482</v>
      </c>
      <c r="AE278" s="321">
        <f t="shared" si="237"/>
        <v>0</v>
      </c>
      <c r="AF278" s="174">
        <f t="shared" si="237"/>
        <v>268</v>
      </c>
      <c r="AG278" s="169">
        <f>SUM(AA278:AF278)</f>
        <v>7993</v>
      </c>
      <c r="AH278" s="175">
        <f>AG278+SUM(AC278:AD278)+AF278</f>
        <v>12700</v>
      </c>
      <c r="AI278" s="169">
        <f t="shared" si="230"/>
        <v>15619</v>
      </c>
      <c r="AJ278" s="175">
        <f t="shared" si="230"/>
        <v>24709</v>
      </c>
      <c r="AK278" s="169">
        <f t="shared" ref="AK278:AP278" si="238">SUM(AK279:AK307)</f>
        <v>52</v>
      </c>
      <c r="AL278" s="170">
        <f t="shared" si="238"/>
        <v>21</v>
      </c>
      <c r="AM278" s="171">
        <f t="shared" si="238"/>
        <v>266</v>
      </c>
      <c r="AN278" s="172">
        <f t="shared" si="238"/>
        <v>14</v>
      </c>
      <c r="AO278" s="173">
        <f t="shared" si="238"/>
        <v>0</v>
      </c>
      <c r="AP278" s="174">
        <f t="shared" si="238"/>
        <v>0</v>
      </c>
      <c r="AQ278" s="169">
        <f t="shared" ref="AQ278" si="239">SUM(AK278:AP278)</f>
        <v>353</v>
      </c>
      <c r="AR278" s="170">
        <f>AQ278+SUM(AM278:AN278)+AP278</f>
        <v>633</v>
      </c>
      <c r="AS278" s="169">
        <f t="shared" ref="AS278:AX278" si="240">SUM(AS279:AS307)</f>
        <v>52</v>
      </c>
      <c r="AT278" s="170">
        <f t="shared" si="240"/>
        <v>21</v>
      </c>
      <c r="AU278" s="171">
        <f t="shared" si="240"/>
        <v>266</v>
      </c>
      <c r="AV278" s="320">
        <f t="shared" si="240"/>
        <v>14</v>
      </c>
      <c r="AW278" s="321">
        <f t="shared" si="240"/>
        <v>0</v>
      </c>
      <c r="AX278" s="174">
        <f t="shared" si="240"/>
        <v>0</v>
      </c>
      <c r="AY278" s="169">
        <f t="shared" ref="AY278:AY308" si="241">SUM(AS278:AX278)</f>
        <v>353</v>
      </c>
      <c r="AZ278" s="170">
        <f>AY278+SUM(AU278:AV278)+AX278</f>
        <v>633</v>
      </c>
      <c r="BA278" s="169">
        <f t="shared" si="231"/>
        <v>706</v>
      </c>
      <c r="BB278" s="170">
        <f t="shared" si="231"/>
        <v>1266</v>
      </c>
      <c r="BC278" s="169">
        <f t="shared" si="232"/>
        <v>7979</v>
      </c>
      <c r="BD278" s="170">
        <f t="shared" si="232"/>
        <v>12642</v>
      </c>
      <c r="BE278" s="169">
        <f t="shared" si="233"/>
        <v>8346</v>
      </c>
      <c r="BF278" s="176">
        <f t="shared" si="233"/>
        <v>13333</v>
      </c>
      <c r="BG278" s="169">
        <f t="shared" si="234"/>
        <v>16325</v>
      </c>
      <c r="BH278" s="170">
        <f t="shared" si="234"/>
        <v>25975</v>
      </c>
    </row>
    <row r="279" spans="1:60" ht="21" x14ac:dyDescent="0.3">
      <c r="A279" s="178" t="s">
        <v>1093</v>
      </c>
      <c r="B279" s="306">
        <v>1</v>
      </c>
      <c r="C279" s="180">
        <v>1</v>
      </c>
      <c r="D279" s="215" t="s">
        <v>65</v>
      </c>
      <c r="E279" s="182" t="s">
        <v>1095</v>
      </c>
      <c r="F279" s="183" t="s">
        <v>1096</v>
      </c>
      <c r="G279" s="216" t="s">
        <v>1097</v>
      </c>
      <c r="H279" s="217" t="s">
        <v>1098</v>
      </c>
      <c r="I279" s="217" t="s">
        <v>1099</v>
      </c>
      <c r="J279" s="218">
        <v>45932.861111111109</v>
      </c>
      <c r="K279" s="223">
        <f t="shared" ref="K279:K304" si="242">I279-H279</f>
        <v>0.50347222221898846</v>
      </c>
      <c r="L279" s="222">
        <v>0</v>
      </c>
      <c r="M279" s="189">
        <f t="shared" ref="M279:M304" si="243">K279-L279</f>
        <v>0.50347222221898846</v>
      </c>
      <c r="N279" s="189">
        <f t="shared" ref="N279:N304" si="244">J279-G279</f>
        <v>0.53125</v>
      </c>
      <c r="O279" s="190">
        <f t="shared" ref="O279:O304" si="245">BG279/M279/24</f>
        <v>48.082758620998483</v>
      </c>
      <c r="P279" s="190">
        <f t="shared" ref="P279:P304" si="246">BG279/K279/24</f>
        <v>48.082758620998483</v>
      </c>
      <c r="Q279" s="191">
        <f t="shared" ref="Q279:Q304" si="247">BG279/N279/24</f>
        <v>45.568627450980394</v>
      </c>
      <c r="R279" s="192" t="s">
        <v>71</v>
      </c>
      <c r="S279" s="193">
        <v>116</v>
      </c>
      <c r="T279" s="194">
        <v>2</v>
      </c>
      <c r="U279" s="195">
        <v>159</v>
      </c>
      <c r="V279" s="196">
        <v>21</v>
      </c>
      <c r="W279" s="219">
        <v>0</v>
      </c>
      <c r="X279" s="220">
        <v>0</v>
      </c>
      <c r="Y279" s="199">
        <f t="shared" ref="Y279:Y304" si="248">SUM(S279:X279)</f>
        <v>298</v>
      </c>
      <c r="Z279" s="200">
        <f t="shared" ref="Z279:Z304" si="249">Y279+SUM(U279:V279)+X279</f>
        <v>478</v>
      </c>
      <c r="AA279" s="193">
        <v>106</v>
      </c>
      <c r="AB279" s="194">
        <v>16</v>
      </c>
      <c r="AC279" s="195">
        <v>127</v>
      </c>
      <c r="AD279" s="201">
        <v>30</v>
      </c>
      <c r="AE279" s="221">
        <v>0</v>
      </c>
      <c r="AF279" s="220">
        <v>4</v>
      </c>
      <c r="AG279" s="199">
        <f t="shared" ref="AG279:AG304" si="250">SUM(AA279:AF279)</f>
        <v>283</v>
      </c>
      <c r="AH279" s="200">
        <f t="shared" ref="AH279:AH304" si="251">AG279+SUM(AC279:AD279)+AF279</f>
        <v>444</v>
      </c>
      <c r="AI279" s="203">
        <f t="shared" ref="AI279:AJ294" si="252">Y279+AG279</f>
        <v>581</v>
      </c>
      <c r="AJ279" s="204">
        <f t="shared" si="252"/>
        <v>922</v>
      </c>
      <c r="AK279" s="193">
        <v>0</v>
      </c>
      <c r="AL279" s="194">
        <v>0</v>
      </c>
      <c r="AM279" s="195">
        <v>0</v>
      </c>
      <c r="AN279" s="196">
        <v>0</v>
      </c>
      <c r="AO279" s="219">
        <v>0</v>
      </c>
      <c r="AP279" s="220">
        <v>0</v>
      </c>
      <c r="AQ279" s="205">
        <f t="shared" ref="AQ279:AQ304" si="253">SUM(AK279:AP279)</f>
        <v>0</v>
      </c>
      <c r="AR279" s="206">
        <f t="shared" ref="AR279:AR304" si="254">AQ279+SUM(AM279:AN279)+AP279</f>
        <v>0</v>
      </c>
      <c r="AS279" s="193">
        <v>0</v>
      </c>
      <c r="AT279" s="194">
        <v>0</v>
      </c>
      <c r="AU279" s="195">
        <v>0</v>
      </c>
      <c r="AV279" s="196">
        <v>0</v>
      </c>
      <c r="AW279" s="219">
        <v>0</v>
      </c>
      <c r="AX279" s="220">
        <v>0</v>
      </c>
      <c r="AY279" s="205">
        <f t="shared" ref="AY279:AY304" si="255">SUM(AS279:AX279)</f>
        <v>0</v>
      </c>
      <c r="AZ279" s="206">
        <f t="shared" ref="AZ279:AZ304" si="256">AY279+SUM(AU279:AV279)+AX279</f>
        <v>0</v>
      </c>
      <c r="BA279" s="207">
        <f t="shared" ref="BA279:BB294" si="257">AQ279+AY279</f>
        <v>0</v>
      </c>
      <c r="BB279" s="204">
        <f t="shared" si="257"/>
        <v>0</v>
      </c>
      <c r="BC279" s="208">
        <f t="shared" ref="BC279:BD294" si="258">Y279+AQ279</f>
        <v>298</v>
      </c>
      <c r="BD279" s="209">
        <f t="shared" si="258"/>
        <v>478</v>
      </c>
      <c r="BE279" s="210">
        <f t="shared" ref="BE279:BF294" si="259">AG279+AY279</f>
        <v>283</v>
      </c>
      <c r="BF279" s="211">
        <f t="shared" si="259"/>
        <v>444</v>
      </c>
      <c r="BG279" s="212">
        <f t="shared" ref="BG279:BH294" si="260">BC279+BE279</f>
        <v>581</v>
      </c>
      <c r="BH279" s="213">
        <f t="shared" si="260"/>
        <v>922</v>
      </c>
    </row>
    <row r="280" spans="1:60" ht="21" x14ac:dyDescent="0.3">
      <c r="A280" s="214" t="s">
        <v>1093</v>
      </c>
      <c r="B280" s="306">
        <v>1</v>
      </c>
      <c r="C280" s="180">
        <v>2</v>
      </c>
      <c r="D280" s="215" t="s">
        <v>58</v>
      </c>
      <c r="E280" s="182" t="s">
        <v>1100</v>
      </c>
      <c r="F280" s="183" t="s">
        <v>990</v>
      </c>
      <c r="G280" s="216" t="s">
        <v>1101</v>
      </c>
      <c r="H280" s="217" t="s">
        <v>1097</v>
      </c>
      <c r="I280" s="217" t="s">
        <v>1102</v>
      </c>
      <c r="J280" s="218">
        <v>45933.222222222219</v>
      </c>
      <c r="K280" s="223">
        <f t="shared" si="242"/>
        <v>0.87847222222626442</v>
      </c>
      <c r="L280" s="222">
        <v>0</v>
      </c>
      <c r="M280" s="189">
        <f t="shared" si="243"/>
        <v>0.87847222222626442</v>
      </c>
      <c r="N280" s="189">
        <f t="shared" si="244"/>
        <v>0.92013888888322981</v>
      </c>
      <c r="O280" s="190">
        <f t="shared" si="245"/>
        <v>43.209486165809075</v>
      </c>
      <c r="P280" s="190">
        <f t="shared" si="246"/>
        <v>43.209486165809075</v>
      </c>
      <c r="Q280" s="191">
        <f t="shared" si="247"/>
        <v>41.252830188932961</v>
      </c>
      <c r="R280" s="192" t="s">
        <v>57</v>
      </c>
      <c r="S280" s="193">
        <v>207</v>
      </c>
      <c r="T280" s="194">
        <v>0</v>
      </c>
      <c r="U280" s="195">
        <v>176</v>
      </c>
      <c r="V280" s="196">
        <v>116</v>
      </c>
      <c r="W280" s="219">
        <v>0</v>
      </c>
      <c r="X280" s="220">
        <v>1</v>
      </c>
      <c r="Y280" s="199">
        <f t="shared" si="248"/>
        <v>500</v>
      </c>
      <c r="Z280" s="200">
        <f t="shared" si="249"/>
        <v>793</v>
      </c>
      <c r="AA280" s="193">
        <v>158</v>
      </c>
      <c r="AB280" s="194">
        <v>0</v>
      </c>
      <c r="AC280" s="195">
        <v>175</v>
      </c>
      <c r="AD280" s="201">
        <v>52</v>
      </c>
      <c r="AE280" s="221">
        <v>0</v>
      </c>
      <c r="AF280" s="220">
        <v>26</v>
      </c>
      <c r="AG280" s="199">
        <f t="shared" si="250"/>
        <v>411</v>
      </c>
      <c r="AH280" s="200">
        <f t="shared" si="251"/>
        <v>664</v>
      </c>
      <c r="AI280" s="203">
        <f t="shared" si="252"/>
        <v>911</v>
      </c>
      <c r="AJ280" s="204">
        <f t="shared" si="252"/>
        <v>1457</v>
      </c>
      <c r="AK280" s="193">
        <v>0</v>
      </c>
      <c r="AL280" s="194">
        <v>0</v>
      </c>
      <c r="AM280" s="195">
        <v>0</v>
      </c>
      <c r="AN280" s="196">
        <v>0</v>
      </c>
      <c r="AO280" s="219">
        <v>0</v>
      </c>
      <c r="AP280" s="220">
        <v>0</v>
      </c>
      <c r="AQ280" s="205">
        <f t="shared" si="253"/>
        <v>0</v>
      </c>
      <c r="AR280" s="206">
        <f t="shared" si="254"/>
        <v>0</v>
      </c>
      <c r="AS280" s="193">
        <v>0</v>
      </c>
      <c r="AT280" s="194">
        <v>0</v>
      </c>
      <c r="AU280" s="195">
        <v>0</v>
      </c>
      <c r="AV280" s="196">
        <v>0</v>
      </c>
      <c r="AW280" s="219">
        <v>0</v>
      </c>
      <c r="AX280" s="220">
        <v>0</v>
      </c>
      <c r="AY280" s="205">
        <f t="shared" si="255"/>
        <v>0</v>
      </c>
      <c r="AZ280" s="206">
        <f t="shared" si="256"/>
        <v>0</v>
      </c>
      <c r="BA280" s="207">
        <f t="shared" si="257"/>
        <v>0</v>
      </c>
      <c r="BB280" s="204">
        <f t="shared" si="257"/>
        <v>0</v>
      </c>
      <c r="BC280" s="208">
        <f t="shared" si="258"/>
        <v>500</v>
      </c>
      <c r="BD280" s="209">
        <f t="shared" si="258"/>
        <v>793</v>
      </c>
      <c r="BE280" s="210">
        <f t="shared" si="259"/>
        <v>411</v>
      </c>
      <c r="BF280" s="211">
        <f t="shared" si="259"/>
        <v>664</v>
      </c>
      <c r="BG280" s="212">
        <f t="shared" si="260"/>
        <v>911</v>
      </c>
      <c r="BH280" s="213">
        <f t="shared" si="260"/>
        <v>1457</v>
      </c>
    </row>
    <row r="281" spans="1:60" ht="21" x14ac:dyDescent="0.3">
      <c r="A281" s="214" t="s">
        <v>1093</v>
      </c>
      <c r="B281" s="306">
        <v>2</v>
      </c>
      <c r="C281" s="180">
        <v>3</v>
      </c>
      <c r="D281" s="215" t="s">
        <v>72</v>
      </c>
      <c r="E281" s="182" t="s">
        <v>1103</v>
      </c>
      <c r="F281" s="183" t="s">
        <v>1085</v>
      </c>
      <c r="G281" s="216" t="s">
        <v>1104</v>
      </c>
      <c r="H281" s="217" t="s">
        <v>1105</v>
      </c>
      <c r="I281" s="217" t="s">
        <v>1106</v>
      </c>
      <c r="J281" s="218">
        <v>45934.472222222219</v>
      </c>
      <c r="K281" s="223">
        <f t="shared" si="242"/>
        <v>1.0798611111167702</v>
      </c>
      <c r="L281" s="222">
        <v>0.47569444444525288</v>
      </c>
      <c r="M281" s="189">
        <f t="shared" si="243"/>
        <v>0.60416666667151731</v>
      </c>
      <c r="N281" s="189">
        <f t="shared" si="244"/>
        <v>1.5694444444379769</v>
      </c>
      <c r="O281" s="190">
        <f t="shared" si="245"/>
        <v>62.482758620188008</v>
      </c>
      <c r="P281" s="190">
        <f t="shared" si="246"/>
        <v>34.958199356729985</v>
      </c>
      <c r="Q281" s="191">
        <f t="shared" si="247"/>
        <v>24.053097345231862</v>
      </c>
      <c r="R281" s="192" t="s">
        <v>57</v>
      </c>
      <c r="S281" s="193">
        <v>60</v>
      </c>
      <c r="T281" s="194">
        <v>24</v>
      </c>
      <c r="U281" s="195">
        <v>178</v>
      </c>
      <c r="V281" s="196">
        <v>0</v>
      </c>
      <c r="W281" s="219">
        <v>0</v>
      </c>
      <c r="X281" s="220">
        <v>0</v>
      </c>
      <c r="Y281" s="199">
        <f t="shared" si="248"/>
        <v>262</v>
      </c>
      <c r="Z281" s="200">
        <f t="shared" si="249"/>
        <v>440</v>
      </c>
      <c r="AA281" s="193">
        <v>126</v>
      </c>
      <c r="AB281" s="194">
        <v>2</v>
      </c>
      <c r="AC281" s="195">
        <v>96</v>
      </c>
      <c r="AD281" s="201">
        <v>114</v>
      </c>
      <c r="AE281" s="221">
        <v>0</v>
      </c>
      <c r="AF281" s="220">
        <v>0</v>
      </c>
      <c r="AG281" s="199">
        <f t="shared" si="250"/>
        <v>338</v>
      </c>
      <c r="AH281" s="200">
        <f t="shared" si="251"/>
        <v>548</v>
      </c>
      <c r="AI281" s="203">
        <f t="shared" si="252"/>
        <v>600</v>
      </c>
      <c r="AJ281" s="204">
        <f t="shared" si="252"/>
        <v>988</v>
      </c>
      <c r="AK281" s="193">
        <v>35</v>
      </c>
      <c r="AL281" s="194">
        <v>0</v>
      </c>
      <c r="AM281" s="195">
        <v>118</v>
      </c>
      <c r="AN281" s="196">
        <v>0</v>
      </c>
      <c r="AO281" s="219">
        <v>0</v>
      </c>
      <c r="AP281" s="220">
        <v>0</v>
      </c>
      <c r="AQ281" s="205">
        <f t="shared" si="253"/>
        <v>153</v>
      </c>
      <c r="AR281" s="206">
        <f t="shared" si="254"/>
        <v>271</v>
      </c>
      <c r="AS281" s="193">
        <v>35</v>
      </c>
      <c r="AT281" s="194">
        <v>0</v>
      </c>
      <c r="AU281" s="195">
        <v>118</v>
      </c>
      <c r="AV281" s="196">
        <v>0</v>
      </c>
      <c r="AW281" s="219">
        <v>0</v>
      </c>
      <c r="AX281" s="220">
        <v>0</v>
      </c>
      <c r="AY281" s="205">
        <f t="shared" si="255"/>
        <v>153</v>
      </c>
      <c r="AZ281" s="206">
        <f t="shared" si="256"/>
        <v>271</v>
      </c>
      <c r="BA281" s="207">
        <f t="shared" si="257"/>
        <v>306</v>
      </c>
      <c r="BB281" s="204">
        <f t="shared" si="257"/>
        <v>542</v>
      </c>
      <c r="BC281" s="208">
        <f t="shared" si="258"/>
        <v>415</v>
      </c>
      <c r="BD281" s="209">
        <f t="shared" si="258"/>
        <v>711</v>
      </c>
      <c r="BE281" s="210">
        <f t="shared" si="259"/>
        <v>491</v>
      </c>
      <c r="BF281" s="211">
        <f t="shared" si="259"/>
        <v>819</v>
      </c>
      <c r="BG281" s="212">
        <f t="shared" si="260"/>
        <v>906</v>
      </c>
      <c r="BH281" s="213">
        <f t="shared" si="260"/>
        <v>1530</v>
      </c>
    </row>
    <row r="282" spans="1:60" ht="21" x14ac:dyDescent="0.3">
      <c r="A282" s="214" t="s">
        <v>1093</v>
      </c>
      <c r="B282" s="306">
        <v>2</v>
      </c>
      <c r="C282" s="180">
        <v>4</v>
      </c>
      <c r="D282" s="215" t="s">
        <v>79</v>
      </c>
      <c r="E282" s="182" t="s">
        <v>1107</v>
      </c>
      <c r="F282" s="183" t="s">
        <v>1029</v>
      </c>
      <c r="G282" s="216" t="s">
        <v>1108</v>
      </c>
      <c r="H282" s="217" t="s">
        <v>1109</v>
      </c>
      <c r="I282" s="217" t="s">
        <v>1110</v>
      </c>
      <c r="J282" s="218">
        <v>45934.9375</v>
      </c>
      <c r="K282" s="223">
        <f t="shared" si="242"/>
        <v>0.804861111115315</v>
      </c>
      <c r="L282" s="222">
        <v>0</v>
      </c>
      <c r="M282" s="189">
        <f t="shared" si="243"/>
        <v>0.804861111115315</v>
      </c>
      <c r="N282" s="189">
        <f t="shared" si="244"/>
        <v>0.86805555555474712</v>
      </c>
      <c r="O282" s="190">
        <f t="shared" si="245"/>
        <v>31.837791199143457</v>
      </c>
      <c r="P282" s="190">
        <f t="shared" si="246"/>
        <v>31.837791199143457</v>
      </c>
      <c r="Q282" s="191">
        <f t="shared" si="247"/>
        <v>29.520000000027494</v>
      </c>
      <c r="R282" s="192" t="s">
        <v>71</v>
      </c>
      <c r="S282" s="193">
        <v>126</v>
      </c>
      <c r="T282" s="194">
        <v>2</v>
      </c>
      <c r="U282" s="195">
        <v>155</v>
      </c>
      <c r="V282" s="196">
        <v>32</v>
      </c>
      <c r="W282" s="219">
        <v>0</v>
      </c>
      <c r="X282" s="220">
        <v>0</v>
      </c>
      <c r="Y282" s="199">
        <f t="shared" si="248"/>
        <v>315</v>
      </c>
      <c r="Z282" s="200">
        <f t="shared" si="249"/>
        <v>502</v>
      </c>
      <c r="AA282" s="193">
        <v>105</v>
      </c>
      <c r="AB282" s="194">
        <v>17</v>
      </c>
      <c r="AC282" s="195">
        <v>137</v>
      </c>
      <c r="AD282" s="201">
        <v>37</v>
      </c>
      <c r="AE282" s="221">
        <v>0</v>
      </c>
      <c r="AF282" s="220">
        <v>4</v>
      </c>
      <c r="AG282" s="199">
        <f t="shared" si="250"/>
        <v>300</v>
      </c>
      <c r="AH282" s="200">
        <f t="shared" si="251"/>
        <v>478</v>
      </c>
      <c r="AI282" s="203">
        <f t="shared" si="252"/>
        <v>615</v>
      </c>
      <c r="AJ282" s="204">
        <f t="shared" si="252"/>
        <v>980</v>
      </c>
      <c r="AK282" s="193">
        <v>0</v>
      </c>
      <c r="AL282" s="194">
        <v>0</v>
      </c>
      <c r="AM282" s="195">
        <v>0</v>
      </c>
      <c r="AN282" s="196">
        <v>0</v>
      </c>
      <c r="AO282" s="219">
        <v>0</v>
      </c>
      <c r="AP282" s="220">
        <v>0</v>
      </c>
      <c r="AQ282" s="205">
        <f t="shared" si="253"/>
        <v>0</v>
      </c>
      <c r="AR282" s="206">
        <f t="shared" si="254"/>
        <v>0</v>
      </c>
      <c r="AS282" s="193">
        <v>0</v>
      </c>
      <c r="AT282" s="194">
        <v>0</v>
      </c>
      <c r="AU282" s="195">
        <v>0</v>
      </c>
      <c r="AV282" s="196">
        <v>0</v>
      </c>
      <c r="AW282" s="219">
        <v>0</v>
      </c>
      <c r="AX282" s="220">
        <v>0</v>
      </c>
      <c r="AY282" s="205">
        <f t="shared" si="255"/>
        <v>0</v>
      </c>
      <c r="AZ282" s="206">
        <f t="shared" si="256"/>
        <v>0</v>
      </c>
      <c r="BA282" s="207">
        <f t="shared" si="257"/>
        <v>0</v>
      </c>
      <c r="BB282" s="204">
        <f t="shared" si="257"/>
        <v>0</v>
      </c>
      <c r="BC282" s="208">
        <f t="shared" si="258"/>
        <v>315</v>
      </c>
      <c r="BD282" s="209">
        <f t="shared" si="258"/>
        <v>502</v>
      </c>
      <c r="BE282" s="210">
        <f t="shared" si="259"/>
        <v>300</v>
      </c>
      <c r="BF282" s="211">
        <f t="shared" si="259"/>
        <v>478</v>
      </c>
      <c r="BG282" s="212">
        <f t="shared" si="260"/>
        <v>615</v>
      </c>
      <c r="BH282" s="213">
        <f t="shared" si="260"/>
        <v>980</v>
      </c>
    </row>
    <row r="283" spans="1:60" ht="21" x14ac:dyDescent="0.3">
      <c r="A283" s="214" t="s">
        <v>1093</v>
      </c>
      <c r="B283" s="306">
        <v>3</v>
      </c>
      <c r="C283" s="180">
        <v>5</v>
      </c>
      <c r="D283" s="215" t="s">
        <v>51</v>
      </c>
      <c r="E283" s="182" t="s">
        <v>1111</v>
      </c>
      <c r="F283" s="183" t="s">
        <v>1012</v>
      </c>
      <c r="G283" s="216" t="s">
        <v>1112</v>
      </c>
      <c r="H283" s="217" t="s">
        <v>1113</v>
      </c>
      <c r="I283" s="217" t="s">
        <v>1114</v>
      </c>
      <c r="J283" s="218">
        <v>45934.958333333336</v>
      </c>
      <c r="K283" s="223">
        <f t="shared" si="242"/>
        <v>0.92638888888905058</v>
      </c>
      <c r="L283" s="222">
        <v>0</v>
      </c>
      <c r="M283" s="189">
        <f t="shared" si="243"/>
        <v>0.92638888888905058</v>
      </c>
      <c r="N283" s="189">
        <f t="shared" si="244"/>
        <v>0.96180555555474712</v>
      </c>
      <c r="O283" s="190">
        <f t="shared" si="245"/>
        <v>30.809595202393425</v>
      </c>
      <c r="P283" s="190">
        <f t="shared" si="246"/>
        <v>30.809595202393425</v>
      </c>
      <c r="Q283" s="191">
        <f t="shared" si="247"/>
        <v>29.675090252732527</v>
      </c>
      <c r="R283" s="192" t="s">
        <v>57</v>
      </c>
      <c r="S283" s="193">
        <v>160</v>
      </c>
      <c r="T283" s="194">
        <v>0</v>
      </c>
      <c r="U283" s="195">
        <v>139</v>
      </c>
      <c r="V283" s="196">
        <v>45</v>
      </c>
      <c r="W283" s="219">
        <v>0</v>
      </c>
      <c r="X283" s="220">
        <v>0</v>
      </c>
      <c r="Y283" s="199">
        <f t="shared" si="248"/>
        <v>344</v>
      </c>
      <c r="Z283" s="200">
        <f t="shared" si="249"/>
        <v>528</v>
      </c>
      <c r="AA283" s="193">
        <v>144</v>
      </c>
      <c r="AB283" s="194">
        <v>0</v>
      </c>
      <c r="AC283" s="195">
        <v>111</v>
      </c>
      <c r="AD283" s="201">
        <v>62</v>
      </c>
      <c r="AE283" s="221">
        <v>0</v>
      </c>
      <c r="AF283" s="220">
        <v>24</v>
      </c>
      <c r="AG283" s="199">
        <f t="shared" si="250"/>
        <v>341</v>
      </c>
      <c r="AH283" s="200">
        <f t="shared" si="251"/>
        <v>538</v>
      </c>
      <c r="AI283" s="203">
        <f t="shared" si="252"/>
        <v>685</v>
      </c>
      <c r="AJ283" s="204">
        <f t="shared" si="252"/>
        <v>1066</v>
      </c>
      <c r="AK283" s="193">
        <v>0</v>
      </c>
      <c r="AL283" s="194">
        <v>0</v>
      </c>
      <c r="AM283" s="195">
        <v>0</v>
      </c>
      <c r="AN283" s="196">
        <v>0</v>
      </c>
      <c r="AO283" s="219">
        <v>0</v>
      </c>
      <c r="AP283" s="220">
        <v>0</v>
      </c>
      <c r="AQ283" s="205">
        <f t="shared" si="253"/>
        <v>0</v>
      </c>
      <c r="AR283" s="206">
        <f t="shared" si="254"/>
        <v>0</v>
      </c>
      <c r="AS283" s="193">
        <v>0</v>
      </c>
      <c r="AT283" s="194">
        <v>0</v>
      </c>
      <c r="AU283" s="195">
        <v>0</v>
      </c>
      <c r="AV283" s="196">
        <v>0</v>
      </c>
      <c r="AW283" s="219">
        <v>0</v>
      </c>
      <c r="AX283" s="220">
        <v>0</v>
      </c>
      <c r="AY283" s="205">
        <f t="shared" si="255"/>
        <v>0</v>
      </c>
      <c r="AZ283" s="206">
        <f t="shared" si="256"/>
        <v>0</v>
      </c>
      <c r="BA283" s="207">
        <f t="shared" si="257"/>
        <v>0</v>
      </c>
      <c r="BB283" s="204">
        <f t="shared" si="257"/>
        <v>0</v>
      </c>
      <c r="BC283" s="208">
        <f t="shared" si="258"/>
        <v>344</v>
      </c>
      <c r="BD283" s="209">
        <f t="shared" si="258"/>
        <v>528</v>
      </c>
      <c r="BE283" s="210">
        <f t="shared" si="259"/>
        <v>341</v>
      </c>
      <c r="BF283" s="211">
        <f t="shared" si="259"/>
        <v>538</v>
      </c>
      <c r="BG283" s="212">
        <f t="shared" si="260"/>
        <v>685</v>
      </c>
      <c r="BH283" s="213">
        <f t="shared" si="260"/>
        <v>1066</v>
      </c>
    </row>
    <row r="284" spans="1:60" ht="21" x14ac:dyDescent="0.3">
      <c r="A284" s="214" t="s">
        <v>1093</v>
      </c>
      <c r="B284" s="306">
        <v>4</v>
      </c>
      <c r="C284" s="180">
        <v>6</v>
      </c>
      <c r="D284" s="215" t="s">
        <v>231</v>
      </c>
      <c r="E284" s="182" t="s">
        <v>1115</v>
      </c>
      <c r="F284" s="183" t="s">
        <v>990</v>
      </c>
      <c r="G284" s="216" t="s">
        <v>1116</v>
      </c>
      <c r="H284" s="217" t="s">
        <v>1117</v>
      </c>
      <c r="I284" s="217" t="s">
        <v>1118</v>
      </c>
      <c r="J284" s="218">
        <v>45937.1875</v>
      </c>
      <c r="K284" s="223">
        <f t="shared" si="242"/>
        <v>0.59236111111385981</v>
      </c>
      <c r="L284" s="222">
        <v>0</v>
      </c>
      <c r="M284" s="189">
        <f t="shared" si="243"/>
        <v>0.59236111111385981</v>
      </c>
      <c r="N284" s="189">
        <f t="shared" si="244"/>
        <v>0.65972222221898846</v>
      </c>
      <c r="O284" s="190">
        <f t="shared" si="245"/>
        <v>36.998827666885759</v>
      </c>
      <c r="P284" s="190">
        <f t="shared" si="246"/>
        <v>36.998827666885759</v>
      </c>
      <c r="Q284" s="191">
        <f t="shared" si="247"/>
        <v>33.221052631741792</v>
      </c>
      <c r="R284" s="192" t="s">
        <v>57</v>
      </c>
      <c r="S284" s="193">
        <v>136</v>
      </c>
      <c r="T284" s="194">
        <v>0</v>
      </c>
      <c r="U284" s="195">
        <v>88</v>
      </c>
      <c r="V284" s="196">
        <v>5</v>
      </c>
      <c r="W284" s="219">
        <v>0</v>
      </c>
      <c r="X284" s="220">
        <v>0</v>
      </c>
      <c r="Y284" s="199">
        <f t="shared" si="248"/>
        <v>229</v>
      </c>
      <c r="Z284" s="200">
        <f t="shared" si="249"/>
        <v>322</v>
      </c>
      <c r="AA284" s="193">
        <v>128</v>
      </c>
      <c r="AB284" s="194">
        <v>2</v>
      </c>
      <c r="AC284" s="195">
        <v>101</v>
      </c>
      <c r="AD284" s="201">
        <v>40</v>
      </c>
      <c r="AE284" s="221">
        <v>0</v>
      </c>
      <c r="AF284" s="220">
        <v>26</v>
      </c>
      <c r="AG284" s="199">
        <f t="shared" si="250"/>
        <v>297</v>
      </c>
      <c r="AH284" s="200">
        <f t="shared" si="251"/>
        <v>464</v>
      </c>
      <c r="AI284" s="203">
        <f t="shared" si="252"/>
        <v>526</v>
      </c>
      <c r="AJ284" s="204">
        <f t="shared" si="252"/>
        <v>786</v>
      </c>
      <c r="AK284" s="193">
        <v>0</v>
      </c>
      <c r="AL284" s="194">
        <v>0</v>
      </c>
      <c r="AM284" s="195">
        <v>0</v>
      </c>
      <c r="AN284" s="196">
        <v>0</v>
      </c>
      <c r="AO284" s="219">
        <v>0</v>
      </c>
      <c r="AP284" s="220">
        <v>0</v>
      </c>
      <c r="AQ284" s="205">
        <f t="shared" si="253"/>
        <v>0</v>
      </c>
      <c r="AR284" s="206">
        <f t="shared" si="254"/>
        <v>0</v>
      </c>
      <c r="AS284" s="193">
        <v>0</v>
      </c>
      <c r="AT284" s="194">
        <v>0</v>
      </c>
      <c r="AU284" s="195">
        <v>0</v>
      </c>
      <c r="AV284" s="196">
        <v>0</v>
      </c>
      <c r="AW284" s="219">
        <v>0</v>
      </c>
      <c r="AX284" s="220">
        <v>0</v>
      </c>
      <c r="AY284" s="205">
        <f t="shared" si="255"/>
        <v>0</v>
      </c>
      <c r="AZ284" s="206">
        <f t="shared" si="256"/>
        <v>0</v>
      </c>
      <c r="BA284" s="207">
        <f t="shared" si="257"/>
        <v>0</v>
      </c>
      <c r="BB284" s="204">
        <f t="shared" si="257"/>
        <v>0</v>
      </c>
      <c r="BC284" s="208">
        <f t="shared" si="258"/>
        <v>229</v>
      </c>
      <c r="BD284" s="209">
        <f t="shared" si="258"/>
        <v>322</v>
      </c>
      <c r="BE284" s="210">
        <f t="shared" si="259"/>
        <v>297</v>
      </c>
      <c r="BF284" s="211">
        <f t="shared" si="259"/>
        <v>464</v>
      </c>
      <c r="BG284" s="212">
        <f t="shared" si="260"/>
        <v>526</v>
      </c>
      <c r="BH284" s="213">
        <f t="shared" si="260"/>
        <v>786</v>
      </c>
    </row>
    <row r="285" spans="1:60" ht="21" x14ac:dyDescent="0.3">
      <c r="A285" s="214" t="s">
        <v>1093</v>
      </c>
      <c r="B285" s="306">
        <v>5</v>
      </c>
      <c r="C285" s="180">
        <v>7</v>
      </c>
      <c r="D285" s="215" t="s">
        <v>655</v>
      </c>
      <c r="E285" s="182" t="s">
        <v>1119</v>
      </c>
      <c r="F285" s="183" t="s">
        <v>1120</v>
      </c>
      <c r="G285" s="216" t="s">
        <v>1121</v>
      </c>
      <c r="H285" s="217" t="s">
        <v>1122</v>
      </c>
      <c r="I285" s="217" t="s">
        <v>1123</v>
      </c>
      <c r="J285" s="218">
        <v>45937.5</v>
      </c>
      <c r="K285" s="223">
        <f t="shared" si="242"/>
        <v>0.38888888888322981</v>
      </c>
      <c r="L285" s="222">
        <v>0</v>
      </c>
      <c r="M285" s="189">
        <f t="shared" si="243"/>
        <v>0.38888888888322981</v>
      </c>
      <c r="N285" s="189">
        <f t="shared" si="244"/>
        <v>0.45833333333575865</v>
      </c>
      <c r="O285" s="190">
        <f t="shared" si="245"/>
        <v>33.64285714334671</v>
      </c>
      <c r="P285" s="190">
        <f t="shared" si="246"/>
        <v>33.64285714334671</v>
      </c>
      <c r="Q285" s="191">
        <f t="shared" si="247"/>
        <v>28.545454545303496</v>
      </c>
      <c r="R285" s="192" t="s">
        <v>57</v>
      </c>
      <c r="S285" s="193">
        <v>103</v>
      </c>
      <c r="T285" s="194">
        <v>0</v>
      </c>
      <c r="U285" s="195">
        <v>53</v>
      </c>
      <c r="V285" s="196">
        <v>0</v>
      </c>
      <c r="W285" s="219">
        <v>0</v>
      </c>
      <c r="X285" s="220">
        <v>1</v>
      </c>
      <c r="Y285" s="199">
        <f t="shared" si="248"/>
        <v>157</v>
      </c>
      <c r="Z285" s="200">
        <f t="shared" si="249"/>
        <v>211</v>
      </c>
      <c r="AA285" s="193">
        <v>103</v>
      </c>
      <c r="AB285" s="194">
        <v>0</v>
      </c>
      <c r="AC285" s="195">
        <v>52</v>
      </c>
      <c r="AD285" s="201">
        <v>0</v>
      </c>
      <c r="AE285" s="221">
        <v>0</v>
      </c>
      <c r="AF285" s="220">
        <v>2</v>
      </c>
      <c r="AG285" s="199">
        <f t="shared" si="250"/>
        <v>157</v>
      </c>
      <c r="AH285" s="200">
        <f t="shared" si="251"/>
        <v>211</v>
      </c>
      <c r="AI285" s="203">
        <f t="shared" si="252"/>
        <v>314</v>
      </c>
      <c r="AJ285" s="204">
        <f t="shared" si="252"/>
        <v>422</v>
      </c>
      <c r="AK285" s="193">
        <v>0</v>
      </c>
      <c r="AL285" s="194">
        <v>0</v>
      </c>
      <c r="AM285" s="195">
        <v>0</v>
      </c>
      <c r="AN285" s="196">
        <v>0</v>
      </c>
      <c r="AO285" s="219">
        <v>0</v>
      </c>
      <c r="AP285" s="220">
        <v>0</v>
      </c>
      <c r="AQ285" s="205">
        <f t="shared" si="253"/>
        <v>0</v>
      </c>
      <c r="AR285" s="206">
        <f t="shared" si="254"/>
        <v>0</v>
      </c>
      <c r="AS285" s="193">
        <v>0</v>
      </c>
      <c r="AT285" s="194">
        <v>0</v>
      </c>
      <c r="AU285" s="195">
        <v>0</v>
      </c>
      <c r="AV285" s="196">
        <v>0</v>
      </c>
      <c r="AW285" s="219">
        <v>0</v>
      </c>
      <c r="AX285" s="220">
        <v>0</v>
      </c>
      <c r="AY285" s="205">
        <f t="shared" si="255"/>
        <v>0</v>
      </c>
      <c r="AZ285" s="206">
        <f t="shared" si="256"/>
        <v>0</v>
      </c>
      <c r="BA285" s="207">
        <f t="shared" si="257"/>
        <v>0</v>
      </c>
      <c r="BB285" s="204">
        <f t="shared" si="257"/>
        <v>0</v>
      </c>
      <c r="BC285" s="208">
        <f t="shared" si="258"/>
        <v>157</v>
      </c>
      <c r="BD285" s="209">
        <f t="shared" si="258"/>
        <v>211</v>
      </c>
      <c r="BE285" s="210">
        <f t="shared" si="259"/>
        <v>157</v>
      </c>
      <c r="BF285" s="211">
        <f t="shared" si="259"/>
        <v>211</v>
      </c>
      <c r="BG285" s="212">
        <f t="shared" si="260"/>
        <v>314</v>
      </c>
      <c r="BH285" s="213">
        <f t="shared" si="260"/>
        <v>422</v>
      </c>
    </row>
    <row r="286" spans="1:60" ht="21" x14ac:dyDescent="0.3">
      <c r="A286" s="214" t="s">
        <v>1093</v>
      </c>
      <c r="B286" s="306">
        <v>3</v>
      </c>
      <c r="C286" s="180">
        <v>8</v>
      </c>
      <c r="D286" s="215" t="s">
        <v>65</v>
      </c>
      <c r="E286" s="182" t="s">
        <v>1124</v>
      </c>
      <c r="F286" s="183" t="s">
        <v>1125</v>
      </c>
      <c r="G286" s="216" t="s">
        <v>1126</v>
      </c>
      <c r="H286" s="217" t="s">
        <v>1127</v>
      </c>
      <c r="I286" s="217" t="s">
        <v>1128</v>
      </c>
      <c r="J286" s="218">
        <v>45940.583333333336</v>
      </c>
      <c r="K286" s="223">
        <f t="shared" si="242"/>
        <v>0.44236111111240461</v>
      </c>
      <c r="L286" s="222">
        <v>0</v>
      </c>
      <c r="M286" s="189">
        <f t="shared" si="243"/>
        <v>0.44236111111240461</v>
      </c>
      <c r="N286" s="189">
        <f t="shared" si="244"/>
        <v>0.48611111111677019</v>
      </c>
      <c r="O286" s="190">
        <f t="shared" si="245"/>
        <v>57.174254316944278</v>
      </c>
      <c r="P286" s="190">
        <f t="shared" si="246"/>
        <v>57.174254316944278</v>
      </c>
      <c r="Q286" s="191">
        <f t="shared" si="247"/>
        <v>52.028571427965737</v>
      </c>
      <c r="R286" s="192" t="s">
        <v>71</v>
      </c>
      <c r="S286" s="193">
        <v>128</v>
      </c>
      <c r="T286" s="194">
        <v>2</v>
      </c>
      <c r="U286" s="195">
        <v>157</v>
      </c>
      <c r="V286" s="196">
        <v>24</v>
      </c>
      <c r="W286" s="219">
        <v>0</v>
      </c>
      <c r="X286" s="220">
        <v>3</v>
      </c>
      <c r="Y286" s="199">
        <f t="shared" si="248"/>
        <v>314</v>
      </c>
      <c r="Z286" s="200">
        <f t="shared" si="249"/>
        <v>498</v>
      </c>
      <c r="AA286" s="193">
        <v>108</v>
      </c>
      <c r="AB286" s="194">
        <v>18</v>
      </c>
      <c r="AC286" s="195">
        <v>132</v>
      </c>
      <c r="AD286" s="201">
        <v>31</v>
      </c>
      <c r="AE286" s="221">
        <v>0</v>
      </c>
      <c r="AF286" s="220">
        <v>4</v>
      </c>
      <c r="AG286" s="199">
        <f t="shared" si="250"/>
        <v>293</v>
      </c>
      <c r="AH286" s="200">
        <f t="shared" si="251"/>
        <v>460</v>
      </c>
      <c r="AI286" s="203">
        <f t="shared" si="252"/>
        <v>607</v>
      </c>
      <c r="AJ286" s="204">
        <f t="shared" si="252"/>
        <v>958</v>
      </c>
      <c r="AK286" s="193">
        <v>0</v>
      </c>
      <c r="AL286" s="194">
        <v>0</v>
      </c>
      <c r="AM286" s="195">
        <v>0</v>
      </c>
      <c r="AN286" s="196">
        <v>0</v>
      </c>
      <c r="AO286" s="219">
        <v>0</v>
      </c>
      <c r="AP286" s="220">
        <v>0</v>
      </c>
      <c r="AQ286" s="205">
        <f t="shared" si="253"/>
        <v>0</v>
      </c>
      <c r="AR286" s="206">
        <f t="shared" si="254"/>
        <v>0</v>
      </c>
      <c r="AS286" s="193">
        <v>0</v>
      </c>
      <c r="AT286" s="194">
        <v>0</v>
      </c>
      <c r="AU286" s="195">
        <v>0</v>
      </c>
      <c r="AV286" s="196">
        <v>0</v>
      </c>
      <c r="AW286" s="219">
        <v>0</v>
      </c>
      <c r="AX286" s="220">
        <v>0</v>
      </c>
      <c r="AY286" s="205">
        <f t="shared" si="255"/>
        <v>0</v>
      </c>
      <c r="AZ286" s="206">
        <f t="shared" si="256"/>
        <v>0</v>
      </c>
      <c r="BA286" s="207">
        <f t="shared" si="257"/>
        <v>0</v>
      </c>
      <c r="BB286" s="204">
        <f t="shared" si="257"/>
        <v>0</v>
      </c>
      <c r="BC286" s="208">
        <f t="shared" si="258"/>
        <v>314</v>
      </c>
      <c r="BD286" s="209">
        <f t="shared" si="258"/>
        <v>498</v>
      </c>
      <c r="BE286" s="210">
        <f t="shared" si="259"/>
        <v>293</v>
      </c>
      <c r="BF286" s="211">
        <f t="shared" si="259"/>
        <v>460</v>
      </c>
      <c r="BG286" s="212">
        <f t="shared" si="260"/>
        <v>607</v>
      </c>
      <c r="BH286" s="213">
        <f t="shared" si="260"/>
        <v>958</v>
      </c>
    </row>
    <row r="287" spans="1:60" ht="21" x14ac:dyDescent="0.3">
      <c r="A287" s="214" t="s">
        <v>1093</v>
      </c>
      <c r="B287" s="306">
        <v>6</v>
      </c>
      <c r="C287" s="180">
        <v>9</v>
      </c>
      <c r="D287" s="215" t="s">
        <v>58</v>
      </c>
      <c r="E287" s="182" t="s">
        <v>1129</v>
      </c>
      <c r="F287" s="183" t="s">
        <v>1012</v>
      </c>
      <c r="G287" s="216" t="s">
        <v>1130</v>
      </c>
      <c r="H287" s="217" t="s">
        <v>1131</v>
      </c>
      <c r="I287" s="217" t="s">
        <v>1132</v>
      </c>
      <c r="J287" s="218">
        <v>45941.583333333336</v>
      </c>
      <c r="K287" s="223">
        <f t="shared" si="242"/>
        <v>0.70000000000436557</v>
      </c>
      <c r="L287" s="222">
        <v>0</v>
      </c>
      <c r="M287" s="189">
        <f t="shared" si="243"/>
        <v>0.70000000000436557</v>
      </c>
      <c r="N287" s="189">
        <f t="shared" si="244"/>
        <v>0.9375</v>
      </c>
      <c r="O287" s="190">
        <f t="shared" si="245"/>
        <v>55.714285713938246</v>
      </c>
      <c r="P287" s="190">
        <f t="shared" si="246"/>
        <v>55.714285713938246</v>
      </c>
      <c r="Q287" s="191">
        <f t="shared" si="247"/>
        <v>41.6</v>
      </c>
      <c r="R287" s="192" t="s">
        <v>57</v>
      </c>
      <c r="S287" s="193">
        <v>205</v>
      </c>
      <c r="T287" s="194">
        <v>0</v>
      </c>
      <c r="U287" s="195">
        <v>196</v>
      </c>
      <c r="V287" s="196">
        <v>66</v>
      </c>
      <c r="W287" s="219">
        <v>0</v>
      </c>
      <c r="X287" s="220">
        <v>0</v>
      </c>
      <c r="Y287" s="199">
        <f t="shared" si="248"/>
        <v>467</v>
      </c>
      <c r="Z287" s="200">
        <f t="shared" si="249"/>
        <v>729</v>
      </c>
      <c r="AA287" s="193">
        <v>178</v>
      </c>
      <c r="AB287" s="194">
        <v>0</v>
      </c>
      <c r="AC287" s="195">
        <v>180</v>
      </c>
      <c r="AD287" s="201">
        <v>90</v>
      </c>
      <c r="AE287" s="221">
        <v>0</v>
      </c>
      <c r="AF287" s="220">
        <v>21</v>
      </c>
      <c r="AG287" s="199">
        <f t="shared" si="250"/>
        <v>469</v>
      </c>
      <c r="AH287" s="200">
        <f t="shared" si="251"/>
        <v>760</v>
      </c>
      <c r="AI287" s="203">
        <f t="shared" si="252"/>
        <v>936</v>
      </c>
      <c r="AJ287" s="204">
        <f t="shared" si="252"/>
        <v>1489</v>
      </c>
      <c r="AK287" s="193">
        <v>0</v>
      </c>
      <c r="AL287" s="194">
        <v>0</v>
      </c>
      <c r="AM287" s="195">
        <v>0</v>
      </c>
      <c r="AN287" s="196">
        <v>0</v>
      </c>
      <c r="AO287" s="219">
        <v>0</v>
      </c>
      <c r="AP287" s="220">
        <v>0</v>
      </c>
      <c r="AQ287" s="205">
        <f t="shared" si="253"/>
        <v>0</v>
      </c>
      <c r="AR287" s="206">
        <f t="shared" si="254"/>
        <v>0</v>
      </c>
      <c r="AS287" s="193">
        <v>0</v>
      </c>
      <c r="AT287" s="194">
        <v>0</v>
      </c>
      <c r="AU287" s="195">
        <v>0</v>
      </c>
      <c r="AV287" s="196">
        <v>0</v>
      </c>
      <c r="AW287" s="219">
        <v>0</v>
      </c>
      <c r="AX287" s="220">
        <v>0</v>
      </c>
      <c r="AY287" s="205">
        <f t="shared" si="255"/>
        <v>0</v>
      </c>
      <c r="AZ287" s="206">
        <f t="shared" si="256"/>
        <v>0</v>
      </c>
      <c r="BA287" s="207">
        <f t="shared" si="257"/>
        <v>0</v>
      </c>
      <c r="BB287" s="204">
        <f t="shared" si="257"/>
        <v>0</v>
      </c>
      <c r="BC287" s="208">
        <f t="shared" si="258"/>
        <v>467</v>
      </c>
      <c r="BD287" s="209">
        <f t="shared" si="258"/>
        <v>729</v>
      </c>
      <c r="BE287" s="210">
        <f t="shared" si="259"/>
        <v>469</v>
      </c>
      <c r="BF287" s="211">
        <f t="shared" si="259"/>
        <v>760</v>
      </c>
      <c r="BG287" s="212">
        <f t="shared" si="260"/>
        <v>936</v>
      </c>
      <c r="BH287" s="213">
        <f t="shared" si="260"/>
        <v>1489</v>
      </c>
    </row>
    <row r="288" spans="1:60" ht="21" x14ac:dyDescent="0.3">
      <c r="A288" s="214" t="s">
        <v>1093</v>
      </c>
      <c r="B288" s="306">
        <v>7</v>
      </c>
      <c r="C288" s="180">
        <v>10</v>
      </c>
      <c r="D288" s="215" t="s">
        <v>51</v>
      </c>
      <c r="E288" s="182" t="s">
        <v>1133</v>
      </c>
      <c r="F288" s="183" t="s">
        <v>1029</v>
      </c>
      <c r="G288" s="216" t="s">
        <v>1134</v>
      </c>
      <c r="H288" s="217" t="s">
        <v>1135</v>
      </c>
      <c r="I288" s="217" t="s">
        <v>1136</v>
      </c>
      <c r="J288" s="218">
        <v>45942.166666666664</v>
      </c>
      <c r="K288" s="223">
        <f t="shared" si="242"/>
        <v>0.46319444444088731</v>
      </c>
      <c r="L288" s="222">
        <v>0</v>
      </c>
      <c r="M288" s="189">
        <f t="shared" si="243"/>
        <v>0.46319444444088731</v>
      </c>
      <c r="N288" s="189">
        <f t="shared" si="244"/>
        <v>0.53125</v>
      </c>
      <c r="O288" s="190">
        <f t="shared" si="245"/>
        <v>53.433283358731188</v>
      </c>
      <c r="P288" s="190">
        <f t="shared" si="246"/>
        <v>53.433283358731188</v>
      </c>
      <c r="Q288" s="191">
        <f t="shared" si="247"/>
        <v>46.588235294117645</v>
      </c>
      <c r="R288" s="192" t="s">
        <v>57</v>
      </c>
      <c r="S288" s="193">
        <v>99</v>
      </c>
      <c r="T288" s="194">
        <v>0</v>
      </c>
      <c r="U288" s="195">
        <v>102</v>
      </c>
      <c r="V288" s="196">
        <v>80</v>
      </c>
      <c r="W288" s="219">
        <v>0</v>
      </c>
      <c r="X288" s="220">
        <v>0</v>
      </c>
      <c r="Y288" s="199">
        <f t="shared" si="248"/>
        <v>281</v>
      </c>
      <c r="Z288" s="200">
        <f t="shared" si="249"/>
        <v>463</v>
      </c>
      <c r="AA288" s="193">
        <v>126</v>
      </c>
      <c r="AB288" s="194">
        <v>0</v>
      </c>
      <c r="AC288" s="195">
        <v>117</v>
      </c>
      <c r="AD288" s="201">
        <v>46</v>
      </c>
      <c r="AE288" s="221">
        <v>0</v>
      </c>
      <c r="AF288" s="220">
        <v>24</v>
      </c>
      <c r="AG288" s="199">
        <f t="shared" si="250"/>
        <v>313</v>
      </c>
      <c r="AH288" s="200">
        <f t="shared" si="251"/>
        <v>500</v>
      </c>
      <c r="AI288" s="203">
        <f t="shared" si="252"/>
        <v>594</v>
      </c>
      <c r="AJ288" s="204">
        <f t="shared" si="252"/>
        <v>963</v>
      </c>
      <c r="AK288" s="193">
        <v>0</v>
      </c>
      <c r="AL288" s="194">
        <v>0</v>
      </c>
      <c r="AM288" s="195">
        <v>0</v>
      </c>
      <c r="AN288" s="196">
        <v>0</v>
      </c>
      <c r="AO288" s="219">
        <v>0</v>
      </c>
      <c r="AP288" s="220">
        <v>0</v>
      </c>
      <c r="AQ288" s="205">
        <f t="shared" si="253"/>
        <v>0</v>
      </c>
      <c r="AR288" s="206">
        <f t="shared" si="254"/>
        <v>0</v>
      </c>
      <c r="AS288" s="193">
        <v>0</v>
      </c>
      <c r="AT288" s="194">
        <v>0</v>
      </c>
      <c r="AU288" s="195">
        <v>0</v>
      </c>
      <c r="AV288" s="196">
        <v>0</v>
      </c>
      <c r="AW288" s="219">
        <v>0</v>
      </c>
      <c r="AX288" s="220">
        <v>0</v>
      </c>
      <c r="AY288" s="205">
        <f t="shared" si="255"/>
        <v>0</v>
      </c>
      <c r="AZ288" s="206">
        <f t="shared" si="256"/>
        <v>0</v>
      </c>
      <c r="BA288" s="207">
        <f t="shared" si="257"/>
        <v>0</v>
      </c>
      <c r="BB288" s="204">
        <f t="shared" si="257"/>
        <v>0</v>
      </c>
      <c r="BC288" s="208">
        <f t="shared" si="258"/>
        <v>281</v>
      </c>
      <c r="BD288" s="209">
        <f t="shared" si="258"/>
        <v>463</v>
      </c>
      <c r="BE288" s="210">
        <f t="shared" si="259"/>
        <v>313</v>
      </c>
      <c r="BF288" s="211">
        <f t="shared" si="259"/>
        <v>500</v>
      </c>
      <c r="BG288" s="212">
        <f t="shared" si="260"/>
        <v>594</v>
      </c>
      <c r="BH288" s="213">
        <f t="shared" si="260"/>
        <v>963</v>
      </c>
    </row>
    <row r="289" spans="1:60" ht="21" x14ac:dyDescent="0.3">
      <c r="A289" s="214" t="s">
        <v>1093</v>
      </c>
      <c r="B289" s="306">
        <v>4</v>
      </c>
      <c r="C289" s="180">
        <v>11</v>
      </c>
      <c r="D289" s="215" t="s">
        <v>79</v>
      </c>
      <c r="E289" s="182" t="s">
        <v>1137</v>
      </c>
      <c r="F289" s="183" t="s">
        <v>1042</v>
      </c>
      <c r="G289" s="216" t="s">
        <v>1138</v>
      </c>
      <c r="H289" s="217" t="s">
        <v>1139</v>
      </c>
      <c r="I289" s="217" t="s">
        <v>1140</v>
      </c>
      <c r="J289" s="218">
        <v>45943</v>
      </c>
      <c r="K289" s="223">
        <f t="shared" si="242"/>
        <v>0.48749999999563443</v>
      </c>
      <c r="L289" s="222">
        <v>0</v>
      </c>
      <c r="M289" s="189">
        <f t="shared" si="243"/>
        <v>0.48749999999563443</v>
      </c>
      <c r="N289" s="189">
        <f t="shared" si="244"/>
        <v>0.61458333333575865</v>
      </c>
      <c r="O289" s="190">
        <f t="shared" si="245"/>
        <v>51.794871795335617</v>
      </c>
      <c r="P289" s="190">
        <f t="shared" si="246"/>
        <v>51.794871795335617</v>
      </c>
      <c r="Q289" s="191">
        <f t="shared" si="247"/>
        <v>41.084745762549737</v>
      </c>
      <c r="R289" s="192" t="s">
        <v>71</v>
      </c>
      <c r="S289" s="193">
        <v>123</v>
      </c>
      <c r="T289" s="194">
        <v>2</v>
      </c>
      <c r="U289" s="195">
        <v>161</v>
      </c>
      <c r="V289" s="196">
        <v>25</v>
      </c>
      <c r="W289" s="219">
        <v>0</v>
      </c>
      <c r="X289" s="220">
        <v>1</v>
      </c>
      <c r="Y289" s="199">
        <f t="shared" si="248"/>
        <v>312</v>
      </c>
      <c r="Z289" s="200">
        <f t="shared" si="249"/>
        <v>499</v>
      </c>
      <c r="AA289" s="193">
        <v>102</v>
      </c>
      <c r="AB289" s="194">
        <v>18</v>
      </c>
      <c r="AC289" s="195">
        <v>132</v>
      </c>
      <c r="AD289" s="201">
        <v>37</v>
      </c>
      <c r="AE289" s="221">
        <v>0</v>
      </c>
      <c r="AF289" s="220">
        <v>5</v>
      </c>
      <c r="AG289" s="199">
        <f t="shared" si="250"/>
        <v>294</v>
      </c>
      <c r="AH289" s="200">
        <f t="shared" si="251"/>
        <v>468</v>
      </c>
      <c r="AI289" s="203">
        <f t="shared" si="252"/>
        <v>606</v>
      </c>
      <c r="AJ289" s="204">
        <f t="shared" si="252"/>
        <v>967</v>
      </c>
      <c r="AK289" s="193">
        <v>0</v>
      </c>
      <c r="AL289" s="194">
        <v>0</v>
      </c>
      <c r="AM289" s="195">
        <v>0</v>
      </c>
      <c r="AN289" s="196">
        <v>0</v>
      </c>
      <c r="AO289" s="219">
        <v>0</v>
      </c>
      <c r="AP289" s="220">
        <v>0</v>
      </c>
      <c r="AQ289" s="205">
        <f t="shared" si="253"/>
        <v>0</v>
      </c>
      <c r="AR289" s="206">
        <f t="shared" si="254"/>
        <v>0</v>
      </c>
      <c r="AS289" s="193">
        <v>0</v>
      </c>
      <c r="AT289" s="194">
        <v>0</v>
      </c>
      <c r="AU289" s="195">
        <v>0</v>
      </c>
      <c r="AV289" s="196">
        <v>0</v>
      </c>
      <c r="AW289" s="219">
        <v>0</v>
      </c>
      <c r="AX289" s="220">
        <v>0</v>
      </c>
      <c r="AY289" s="205">
        <f t="shared" si="255"/>
        <v>0</v>
      </c>
      <c r="AZ289" s="206">
        <f t="shared" si="256"/>
        <v>0</v>
      </c>
      <c r="BA289" s="207">
        <f t="shared" si="257"/>
        <v>0</v>
      </c>
      <c r="BB289" s="204">
        <f t="shared" si="257"/>
        <v>0</v>
      </c>
      <c r="BC289" s="208">
        <f t="shared" si="258"/>
        <v>312</v>
      </c>
      <c r="BD289" s="209">
        <f t="shared" si="258"/>
        <v>499</v>
      </c>
      <c r="BE289" s="210">
        <f t="shared" si="259"/>
        <v>294</v>
      </c>
      <c r="BF289" s="211">
        <f t="shared" si="259"/>
        <v>468</v>
      </c>
      <c r="BG289" s="212">
        <f t="shared" si="260"/>
        <v>606</v>
      </c>
      <c r="BH289" s="213">
        <f t="shared" si="260"/>
        <v>967</v>
      </c>
    </row>
    <row r="290" spans="1:60" ht="21" x14ac:dyDescent="0.3">
      <c r="A290" s="214" t="s">
        <v>1093</v>
      </c>
      <c r="B290" s="306">
        <v>8</v>
      </c>
      <c r="C290" s="180">
        <v>12</v>
      </c>
      <c r="D290" s="215" t="s">
        <v>72</v>
      </c>
      <c r="E290" s="182" t="s">
        <v>1141</v>
      </c>
      <c r="F290" s="183" t="s">
        <v>1120</v>
      </c>
      <c r="G290" s="216" t="s">
        <v>1142</v>
      </c>
      <c r="H290" s="217" t="s">
        <v>1143</v>
      </c>
      <c r="I290" s="217" t="s">
        <v>1144</v>
      </c>
      <c r="J290" s="218">
        <v>45943.979166666664</v>
      </c>
      <c r="K290" s="223">
        <f t="shared" si="242"/>
        <v>0.60138888889196096</v>
      </c>
      <c r="L290" s="222">
        <v>0</v>
      </c>
      <c r="M290" s="189">
        <f t="shared" si="243"/>
        <v>0.60138888889196096</v>
      </c>
      <c r="N290" s="189">
        <f t="shared" si="244"/>
        <v>0.88888888888322981</v>
      </c>
      <c r="O290" s="190">
        <f t="shared" si="245"/>
        <v>50.715935334613903</v>
      </c>
      <c r="P290" s="190">
        <f t="shared" si="246"/>
        <v>50.715935334613903</v>
      </c>
      <c r="Q290" s="191">
        <f t="shared" si="247"/>
        <v>34.312500000218449</v>
      </c>
      <c r="R290" s="192" t="s">
        <v>57</v>
      </c>
      <c r="S290" s="193">
        <v>72</v>
      </c>
      <c r="T290" s="194">
        <v>32</v>
      </c>
      <c r="U290" s="195">
        <v>52</v>
      </c>
      <c r="V290" s="196">
        <v>0</v>
      </c>
      <c r="W290" s="219">
        <v>0</v>
      </c>
      <c r="X290" s="220">
        <v>0</v>
      </c>
      <c r="Y290" s="199">
        <f t="shared" si="248"/>
        <v>156</v>
      </c>
      <c r="Z290" s="200">
        <f t="shared" si="249"/>
        <v>208</v>
      </c>
      <c r="AA290" s="193">
        <v>125</v>
      </c>
      <c r="AB290" s="194">
        <v>200</v>
      </c>
      <c r="AC290" s="195">
        <v>104</v>
      </c>
      <c r="AD290" s="201">
        <v>85</v>
      </c>
      <c r="AE290" s="221">
        <v>0</v>
      </c>
      <c r="AF290" s="220">
        <v>0</v>
      </c>
      <c r="AG290" s="199">
        <f t="shared" si="250"/>
        <v>514</v>
      </c>
      <c r="AH290" s="200">
        <f t="shared" si="251"/>
        <v>703</v>
      </c>
      <c r="AI290" s="203">
        <f t="shared" si="252"/>
        <v>670</v>
      </c>
      <c r="AJ290" s="204">
        <f t="shared" si="252"/>
        <v>911</v>
      </c>
      <c r="AK290" s="193">
        <v>0</v>
      </c>
      <c r="AL290" s="194">
        <v>20</v>
      </c>
      <c r="AM290" s="195">
        <v>11</v>
      </c>
      <c r="AN290" s="196">
        <v>0</v>
      </c>
      <c r="AO290" s="219">
        <v>0</v>
      </c>
      <c r="AP290" s="220">
        <v>0</v>
      </c>
      <c r="AQ290" s="205">
        <f t="shared" si="253"/>
        <v>31</v>
      </c>
      <c r="AR290" s="206">
        <f t="shared" si="254"/>
        <v>42</v>
      </c>
      <c r="AS290" s="193">
        <v>0</v>
      </c>
      <c r="AT290" s="194">
        <v>20</v>
      </c>
      <c r="AU290" s="195">
        <v>11</v>
      </c>
      <c r="AV290" s="196">
        <v>0</v>
      </c>
      <c r="AW290" s="219">
        <v>0</v>
      </c>
      <c r="AX290" s="220">
        <v>0</v>
      </c>
      <c r="AY290" s="205">
        <f t="shared" si="255"/>
        <v>31</v>
      </c>
      <c r="AZ290" s="206">
        <f t="shared" si="256"/>
        <v>42</v>
      </c>
      <c r="BA290" s="207">
        <f t="shared" si="257"/>
        <v>62</v>
      </c>
      <c r="BB290" s="204">
        <f t="shared" si="257"/>
        <v>84</v>
      </c>
      <c r="BC290" s="208">
        <f t="shared" si="258"/>
        <v>187</v>
      </c>
      <c r="BD290" s="209">
        <f t="shared" si="258"/>
        <v>250</v>
      </c>
      <c r="BE290" s="210">
        <f t="shared" si="259"/>
        <v>545</v>
      </c>
      <c r="BF290" s="211">
        <f t="shared" si="259"/>
        <v>745</v>
      </c>
      <c r="BG290" s="212">
        <f t="shared" si="260"/>
        <v>732</v>
      </c>
      <c r="BH290" s="213">
        <f t="shared" si="260"/>
        <v>995</v>
      </c>
    </row>
    <row r="291" spans="1:60" ht="21" x14ac:dyDescent="0.3">
      <c r="A291" s="214" t="s">
        <v>1093</v>
      </c>
      <c r="B291" s="306">
        <v>9</v>
      </c>
      <c r="C291" s="180">
        <v>13</v>
      </c>
      <c r="D291" s="215" t="s">
        <v>231</v>
      </c>
      <c r="E291" s="182" t="s">
        <v>1145</v>
      </c>
      <c r="F291" s="183" t="s">
        <v>1012</v>
      </c>
      <c r="G291" s="216" t="s">
        <v>1146</v>
      </c>
      <c r="H291" s="217" t="s">
        <v>1147</v>
      </c>
      <c r="I291" s="217" t="s">
        <v>1148</v>
      </c>
      <c r="J291" s="218">
        <v>45945.375</v>
      </c>
      <c r="K291" s="223">
        <f t="shared" si="242"/>
        <v>0.86527777778246673</v>
      </c>
      <c r="L291" s="222">
        <v>0.14583333333575865</v>
      </c>
      <c r="M291" s="189">
        <f t="shared" si="243"/>
        <v>0.71944444444670808</v>
      </c>
      <c r="N291" s="189">
        <f t="shared" si="244"/>
        <v>1.1770833333357587</v>
      </c>
      <c r="O291" s="190">
        <f t="shared" si="245"/>
        <v>31.389961389862624</v>
      </c>
      <c r="P291" s="190">
        <f t="shared" si="246"/>
        <v>26.099518458927587</v>
      </c>
      <c r="Q291" s="191">
        <f t="shared" si="247"/>
        <v>19.18584070792507</v>
      </c>
      <c r="R291" s="192" t="s">
        <v>57</v>
      </c>
      <c r="S291" s="193">
        <v>116</v>
      </c>
      <c r="T291" s="194">
        <v>0</v>
      </c>
      <c r="U291" s="195">
        <v>107</v>
      </c>
      <c r="V291" s="196">
        <v>10</v>
      </c>
      <c r="W291" s="219">
        <v>0</v>
      </c>
      <c r="X291" s="220">
        <v>1</v>
      </c>
      <c r="Y291" s="199">
        <f t="shared" si="248"/>
        <v>234</v>
      </c>
      <c r="Z291" s="200">
        <f t="shared" si="249"/>
        <v>352</v>
      </c>
      <c r="AA291" s="193">
        <v>114</v>
      </c>
      <c r="AB291" s="194">
        <v>0</v>
      </c>
      <c r="AC291" s="195">
        <v>62</v>
      </c>
      <c r="AD291" s="201">
        <v>40</v>
      </c>
      <c r="AE291" s="221">
        <v>0</v>
      </c>
      <c r="AF291" s="220">
        <v>12</v>
      </c>
      <c r="AG291" s="199">
        <f t="shared" si="250"/>
        <v>228</v>
      </c>
      <c r="AH291" s="200">
        <f t="shared" si="251"/>
        <v>342</v>
      </c>
      <c r="AI291" s="203">
        <f t="shared" si="252"/>
        <v>462</v>
      </c>
      <c r="AJ291" s="204">
        <f t="shared" si="252"/>
        <v>694</v>
      </c>
      <c r="AK291" s="193">
        <v>14</v>
      </c>
      <c r="AL291" s="194">
        <v>0</v>
      </c>
      <c r="AM291" s="195">
        <v>12</v>
      </c>
      <c r="AN291" s="196">
        <v>14</v>
      </c>
      <c r="AO291" s="219">
        <v>0</v>
      </c>
      <c r="AP291" s="220">
        <v>0</v>
      </c>
      <c r="AQ291" s="205">
        <f t="shared" si="253"/>
        <v>40</v>
      </c>
      <c r="AR291" s="206">
        <f t="shared" si="254"/>
        <v>66</v>
      </c>
      <c r="AS291" s="193">
        <v>14</v>
      </c>
      <c r="AT291" s="194">
        <v>0</v>
      </c>
      <c r="AU291" s="195">
        <v>12</v>
      </c>
      <c r="AV291" s="196">
        <v>14</v>
      </c>
      <c r="AW291" s="219">
        <v>0</v>
      </c>
      <c r="AX291" s="220">
        <v>0</v>
      </c>
      <c r="AY291" s="205">
        <f t="shared" si="255"/>
        <v>40</v>
      </c>
      <c r="AZ291" s="206">
        <f t="shared" si="256"/>
        <v>66</v>
      </c>
      <c r="BA291" s="207">
        <f t="shared" si="257"/>
        <v>80</v>
      </c>
      <c r="BB291" s="204">
        <f t="shared" si="257"/>
        <v>132</v>
      </c>
      <c r="BC291" s="208">
        <f t="shared" si="258"/>
        <v>274</v>
      </c>
      <c r="BD291" s="209">
        <f t="shared" si="258"/>
        <v>418</v>
      </c>
      <c r="BE291" s="210">
        <f t="shared" si="259"/>
        <v>268</v>
      </c>
      <c r="BF291" s="211">
        <f t="shared" si="259"/>
        <v>408</v>
      </c>
      <c r="BG291" s="212">
        <f t="shared" si="260"/>
        <v>542</v>
      </c>
      <c r="BH291" s="213">
        <f t="shared" si="260"/>
        <v>826</v>
      </c>
    </row>
    <row r="292" spans="1:60" ht="21" x14ac:dyDescent="0.3">
      <c r="A292" s="214" t="s">
        <v>1093</v>
      </c>
      <c r="B292" s="306">
        <v>10</v>
      </c>
      <c r="C292" s="180">
        <v>14</v>
      </c>
      <c r="D292" s="215" t="s">
        <v>655</v>
      </c>
      <c r="E292" s="182" t="s">
        <v>1149</v>
      </c>
      <c r="F292" s="183" t="s">
        <v>1150</v>
      </c>
      <c r="G292" s="216" t="s">
        <v>1151</v>
      </c>
      <c r="H292" s="217" t="s">
        <v>1152</v>
      </c>
      <c r="I292" s="217" t="s">
        <v>1153</v>
      </c>
      <c r="J292" s="218">
        <v>45946.875</v>
      </c>
      <c r="K292" s="223">
        <f t="shared" si="242"/>
        <v>0.32986111111677019</v>
      </c>
      <c r="L292" s="222">
        <v>0</v>
      </c>
      <c r="M292" s="189">
        <f t="shared" si="243"/>
        <v>0.32986111111677019</v>
      </c>
      <c r="N292" s="189">
        <f t="shared" si="244"/>
        <v>0.38541666666424135</v>
      </c>
      <c r="O292" s="190">
        <f t="shared" si="245"/>
        <v>38.399999999341212</v>
      </c>
      <c r="P292" s="190">
        <f t="shared" si="246"/>
        <v>38.399999999341212</v>
      </c>
      <c r="Q292" s="191">
        <f t="shared" si="247"/>
        <v>32.864864865071674</v>
      </c>
      <c r="R292" s="192" t="s">
        <v>57</v>
      </c>
      <c r="S292" s="193">
        <v>98</v>
      </c>
      <c r="T292" s="194">
        <v>0</v>
      </c>
      <c r="U292" s="195">
        <v>56</v>
      </c>
      <c r="V292" s="196">
        <v>0</v>
      </c>
      <c r="W292" s="219">
        <v>0</v>
      </c>
      <c r="X292" s="220">
        <v>0</v>
      </c>
      <c r="Y292" s="199">
        <f t="shared" si="248"/>
        <v>154</v>
      </c>
      <c r="Z292" s="200">
        <f t="shared" si="249"/>
        <v>210</v>
      </c>
      <c r="AA292" s="193">
        <v>91</v>
      </c>
      <c r="AB292" s="194">
        <v>0</v>
      </c>
      <c r="AC292" s="195">
        <v>56</v>
      </c>
      <c r="AD292" s="201">
        <v>0</v>
      </c>
      <c r="AE292" s="221">
        <v>0</v>
      </c>
      <c r="AF292" s="220">
        <v>3</v>
      </c>
      <c r="AG292" s="199">
        <f t="shared" si="250"/>
        <v>150</v>
      </c>
      <c r="AH292" s="200">
        <f t="shared" si="251"/>
        <v>209</v>
      </c>
      <c r="AI292" s="203">
        <f t="shared" si="252"/>
        <v>304</v>
      </c>
      <c r="AJ292" s="204">
        <f t="shared" si="252"/>
        <v>419</v>
      </c>
      <c r="AK292" s="193">
        <v>0</v>
      </c>
      <c r="AL292" s="194">
        <v>0</v>
      </c>
      <c r="AM292" s="195">
        <v>0</v>
      </c>
      <c r="AN292" s="196">
        <v>0</v>
      </c>
      <c r="AO292" s="219">
        <v>0</v>
      </c>
      <c r="AP292" s="220">
        <v>0</v>
      </c>
      <c r="AQ292" s="205">
        <f t="shared" si="253"/>
        <v>0</v>
      </c>
      <c r="AR292" s="206">
        <f t="shared" si="254"/>
        <v>0</v>
      </c>
      <c r="AS292" s="193">
        <v>0</v>
      </c>
      <c r="AT292" s="194">
        <v>0</v>
      </c>
      <c r="AU292" s="195">
        <v>0</v>
      </c>
      <c r="AV292" s="196">
        <v>0</v>
      </c>
      <c r="AW292" s="219">
        <v>0</v>
      </c>
      <c r="AX292" s="220">
        <v>0</v>
      </c>
      <c r="AY292" s="205">
        <f t="shared" si="255"/>
        <v>0</v>
      </c>
      <c r="AZ292" s="206">
        <f t="shared" si="256"/>
        <v>0</v>
      </c>
      <c r="BA292" s="207">
        <f t="shared" si="257"/>
        <v>0</v>
      </c>
      <c r="BB292" s="204">
        <f t="shared" si="257"/>
        <v>0</v>
      </c>
      <c r="BC292" s="208">
        <f t="shared" si="258"/>
        <v>154</v>
      </c>
      <c r="BD292" s="209">
        <f t="shared" si="258"/>
        <v>210</v>
      </c>
      <c r="BE292" s="210">
        <f t="shared" si="259"/>
        <v>150</v>
      </c>
      <c r="BF292" s="211">
        <f t="shared" si="259"/>
        <v>209</v>
      </c>
      <c r="BG292" s="212">
        <f t="shared" si="260"/>
        <v>304</v>
      </c>
      <c r="BH292" s="213">
        <f t="shared" si="260"/>
        <v>419</v>
      </c>
    </row>
    <row r="293" spans="1:60" ht="21" x14ac:dyDescent="0.3">
      <c r="A293" s="214" t="s">
        <v>1093</v>
      </c>
      <c r="B293" s="306">
        <v>5</v>
      </c>
      <c r="C293" s="180">
        <v>15</v>
      </c>
      <c r="D293" s="215" t="s">
        <v>65</v>
      </c>
      <c r="E293" s="182" t="s">
        <v>1154</v>
      </c>
      <c r="F293" s="183" t="s">
        <v>1155</v>
      </c>
      <c r="G293" s="216" t="s">
        <v>1156</v>
      </c>
      <c r="H293" s="217" t="s">
        <v>1157</v>
      </c>
      <c r="I293" s="217">
        <v>45948.058333333334</v>
      </c>
      <c r="J293" s="218">
        <v>45948.145833333336</v>
      </c>
      <c r="K293" s="223">
        <f t="shared" si="242"/>
        <v>0.48541666667006211</v>
      </c>
      <c r="L293" s="222">
        <v>0</v>
      </c>
      <c r="M293" s="189">
        <f t="shared" si="243"/>
        <v>0.48541666667006211</v>
      </c>
      <c r="N293" s="189">
        <f t="shared" si="244"/>
        <v>0.59375</v>
      </c>
      <c r="O293" s="190">
        <f t="shared" si="245"/>
        <v>52.875536480316839</v>
      </c>
      <c r="P293" s="190">
        <f t="shared" si="246"/>
        <v>52.875536480316839</v>
      </c>
      <c r="Q293" s="191">
        <f t="shared" si="247"/>
        <v>43.228070175438596</v>
      </c>
      <c r="R293" s="192" t="s">
        <v>71</v>
      </c>
      <c r="S293" s="193">
        <v>125</v>
      </c>
      <c r="T293" s="194">
        <v>2</v>
      </c>
      <c r="U293" s="195">
        <v>157</v>
      </c>
      <c r="V293" s="196">
        <v>32</v>
      </c>
      <c r="W293" s="219">
        <v>0</v>
      </c>
      <c r="X293" s="220">
        <v>2</v>
      </c>
      <c r="Y293" s="199">
        <f t="shared" si="248"/>
        <v>318</v>
      </c>
      <c r="Z293" s="200">
        <f t="shared" si="249"/>
        <v>509</v>
      </c>
      <c r="AA293" s="193">
        <v>101</v>
      </c>
      <c r="AB293" s="194">
        <v>19</v>
      </c>
      <c r="AC293" s="195">
        <v>133</v>
      </c>
      <c r="AD293" s="201">
        <v>41</v>
      </c>
      <c r="AE293" s="221">
        <v>0</v>
      </c>
      <c r="AF293" s="220">
        <v>4</v>
      </c>
      <c r="AG293" s="199">
        <f t="shared" si="250"/>
        <v>298</v>
      </c>
      <c r="AH293" s="200">
        <f t="shared" si="251"/>
        <v>476</v>
      </c>
      <c r="AI293" s="203">
        <f t="shared" si="252"/>
        <v>616</v>
      </c>
      <c r="AJ293" s="204">
        <f t="shared" si="252"/>
        <v>985</v>
      </c>
      <c r="AK293" s="193">
        <v>0</v>
      </c>
      <c r="AL293" s="194">
        <v>0</v>
      </c>
      <c r="AM293" s="195">
        <v>0</v>
      </c>
      <c r="AN293" s="196">
        <v>0</v>
      </c>
      <c r="AO293" s="219">
        <v>0</v>
      </c>
      <c r="AP293" s="220">
        <v>0</v>
      </c>
      <c r="AQ293" s="205">
        <f t="shared" si="253"/>
        <v>0</v>
      </c>
      <c r="AR293" s="206">
        <f t="shared" si="254"/>
        <v>0</v>
      </c>
      <c r="AS293" s="193">
        <v>0</v>
      </c>
      <c r="AT293" s="194">
        <v>0</v>
      </c>
      <c r="AU293" s="195">
        <v>0</v>
      </c>
      <c r="AV293" s="196">
        <v>0</v>
      </c>
      <c r="AW293" s="219">
        <v>0</v>
      </c>
      <c r="AX293" s="220">
        <v>0</v>
      </c>
      <c r="AY293" s="205">
        <f t="shared" si="255"/>
        <v>0</v>
      </c>
      <c r="AZ293" s="206">
        <f t="shared" si="256"/>
        <v>0</v>
      </c>
      <c r="BA293" s="207">
        <f t="shared" si="257"/>
        <v>0</v>
      </c>
      <c r="BB293" s="204">
        <f t="shared" si="257"/>
        <v>0</v>
      </c>
      <c r="BC293" s="208">
        <f t="shared" si="258"/>
        <v>318</v>
      </c>
      <c r="BD293" s="209">
        <f t="shared" si="258"/>
        <v>509</v>
      </c>
      <c r="BE293" s="210">
        <f t="shared" si="259"/>
        <v>298</v>
      </c>
      <c r="BF293" s="211">
        <f t="shared" si="259"/>
        <v>476</v>
      </c>
      <c r="BG293" s="212">
        <f t="shared" si="260"/>
        <v>616</v>
      </c>
      <c r="BH293" s="213">
        <f t="shared" si="260"/>
        <v>985</v>
      </c>
    </row>
    <row r="294" spans="1:60" ht="21" x14ac:dyDescent="0.3">
      <c r="A294" s="214" t="s">
        <v>1093</v>
      </c>
      <c r="B294" s="306">
        <v>11</v>
      </c>
      <c r="C294" s="180">
        <v>16</v>
      </c>
      <c r="D294" s="215" t="s">
        <v>58</v>
      </c>
      <c r="E294" s="182" t="s">
        <v>1158</v>
      </c>
      <c r="F294" s="183" t="s">
        <v>1029</v>
      </c>
      <c r="G294" s="216" t="s">
        <v>1159</v>
      </c>
      <c r="H294" s="217" t="s">
        <v>1160</v>
      </c>
      <c r="I294" s="217" t="s">
        <v>1161</v>
      </c>
      <c r="J294" s="218">
        <v>45949.486111111109</v>
      </c>
      <c r="K294" s="223">
        <f t="shared" si="242"/>
        <v>0.75208333333284827</v>
      </c>
      <c r="L294" s="222">
        <v>0</v>
      </c>
      <c r="M294" s="189">
        <f t="shared" si="243"/>
        <v>0.75208333333284827</v>
      </c>
      <c r="N294" s="189">
        <f t="shared" si="244"/>
        <v>0.79513888889050577</v>
      </c>
      <c r="O294" s="190">
        <f t="shared" si="245"/>
        <v>54.349030470949181</v>
      </c>
      <c r="P294" s="190">
        <f t="shared" si="246"/>
        <v>54.349030470949181</v>
      </c>
      <c r="Q294" s="191">
        <f t="shared" si="247"/>
        <v>51.406113537013368</v>
      </c>
      <c r="R294" s="192" t="s">
        <v>57</v>
      </c>
      <c r="S294" s="193">
        <v>157</v>
      </c>
      <c r="T294" s="194">
        <v>1</v>
      </c>
      <c r="U294" s="195">
        <v>183</v>
      </c>
      <c r="V294" s="196">
        <v>182</v>
      </c>
      <c r="W294" s="219">
        <v>0</v>
      </c>
      <c r="X294" s="220">
        <v>0</v>
      </c>
      <c r="Y294" s="199">
        <f t="shared" si="248"/>
        <v>523</v>
      </c>
      <c r="Z294" s="200">
        <f t="shared" si="249"/>
        <v>888</v>
      </c>
      <c r="AA294" s="193">
        <v>150</v>
      </c>
      <c r="AB294" s="194">
        <v>21</v>
      </c>
      <c r="AC294" s="195">
        <v>170</v>
      </c>
      <c r="AD294" s="201">
        <v>98</v>
      </c>
      <c r="AE294" s="221">
        <v>0</v>
      </c>
      <c r="AF294" s="220">
        <v>19</v>
      </c>
      <c r="AG294" s="199">
        <f t="shared" si="250"/>
        <v>458</v>
      </c>
      <c r="AH294" s="200">
        <f t="shared" si="251"/>
        <v>745</v>
      </c>
      <c r="AI294" s="203">
        <f t="shared" si="252"/>
        <v>981</v>
      </c>
      <c r="AJ294" s="204">
        <f t="shared" si="252"/>
        <v>1633</v>
      </c>
      <c r="AK294" s="193">
        <v>0</v>
      </c>
      <c r="AL294" s="194">
        <v>0</v>
      </c>
      <c r="AM294" s="195">
        <v>0</v>
      </c>
      <c r="AN294" s="196">
        <v>0</v>
      </c>
      <c r="AO294" s="219">
        <v>0</v>
      </c>
      <c r="AP294" s="220">
        <v>0</v>
      </c>
      <c r="AQ294" s="205">
        <f t="shared" si="253"/>
        <v>0</v>
      </c>
      <c r="AR294" s="206">
        <f t="shared" si="254"/>
        <v>0</v>
      </c>
      <c r="AS294" s="193">
        <v>0</v>
      </c>
      <c r="AT294" s="194">
        <v>0</v>
      </c>
      <c r="AU294" s="195">
        <v>0</v>
      </c>
      <c r="AV294" s="196">
        <v>0</v>
      </c>
      <c r="AW294" s="219">
        <v>0</v>
      </c>
      <c r="AX294" s="220">
        <v>0</v>
      </c>
      <c r="AY294" s="205">
        <f t="shared" si="255"/>
        <v>0</v>
      </c>
      <c r="AZ294" s="206">
        <f t="shared" si="256"/>
        <v>0</v>
      </c>
      <c r="BA294" s="207">
        <f t="shared" si="257"/>
        <v>0</v>
      </c>
      <c r="BB294" s="204">
        <f t="shared" si="257"/>
        <v>0</v>
      </c>
      <c r="BC294" s="208">
        <f t="shared" si="258"/>
        <v>523</v>
      </c>
      <c r="BD294" s="209">
        <f t="shared" si="258"/>
        <v>888</v>
      </c>
      <c r="BE294" s="210">
        <f t="shared" si="259"/>
        <v>458</v>
      </c>
      <c r="BF294" s="211">
        <f t="shared" si="259"/>
        <v>745</v>
      </c>
      <c r="BG294" s="212">
        <f t="shared" si="260"/>
        <v>981</v>
      </c>
      <c r="BH294" s="213">
        <f t="shared" si="260"/>
        <v>1633</v>
      </c>
    </row>
    <row r="295" spans="1:60" ht="21" x14ac:dyDescent="0.3">
      <c r="A295" s="214" t="s">
        <v>1093</v>
      </c>
      <c r="B295" s="306">
        <v>12</v>
      </c>
      <c r="C295" s="180">
        <v>17</v>
      </c>
      <c r="D295" s="215" t="s">
        <v>51</v>
      </c>
      <c r="E295" s="182" t="s">
        <v>1162</v>
      </c>
      <c r="F295" s="183" t="s">
        <v>1042</v>
      </c>
      <c r="G295" s="216" t="s">
        <v>1163</v>
      </c>
      <c r="H295" s="217" t="s">
        <v>1164</v>
      </c>
      <c r="I295" s="217" t="s">
        <v>1165</v>
      </c>
      <c r="J295" s="218">
        <v>45949.916666666664</v>
      </c>
      <c r="K295" s="223">
        <f t="shared" si="242"/>
        <v>0.58194444444961846</v>
      </c>
      <c r="L295" s="222">
        <v>0</v>
      </c>
      <c r="M295" s="189">
        <f t="shared" si="243"/>
        <v>0.58194444444961846</v>
      </c>
      <c r="N295" s="189">
        <f t="shared" si="244"/>
        <v>0.71527777777373558</v>
      </c>
      <c r="O295" s="190">
        <f t="shared" si="245"/>
        <v>41.885441527073901</v>
      </c>
      <c r="P295" s="190">
        <f t="shared" si="246"/>
        <v>41.885441527073901</v>
      </c>
      <c r="Q295" s="191">
        <f t="shared" si="247"/>
        <v>34.077669903105203</v>
      </c>
      <c r="R295" s="192" t="s">
        <v>57</v>
      </c>
      <c r="S295" s="193">
        <v>110</v>
      </c>
      <c r="T295" s="194">
        <v>0</v>
      </c>
      <c r="U295" s="195">
        <v>118</v>
      </c>
      <c r="V295" s="196">
        <v>79</v>
      </c>
      <c r="W295" s="219">
        <v>0</v>
      </c>
      <c r="X295" s="220">
        <v>0</v>
      </c>
      <c r="Y295" s="199">
        <f t="shared" si="248"/>
        <v>307</v>
      </c>
      <c r="Z295" s="200">
        <f t="shared" si="249"/>
        <v>504</v>
      </c>
      <c r="AA295" s="193">
        <v>41</v>
      </c>
      <c r="AB295" s="194">
        <v>0</v>
      </c>
      <c r="AC295" s="195">
        <v>122</v>
      </c>
      <c r="AD295" s="201">
        <v>106</v>
      </c>
      <c r="AE295" s="221">
        <v>0</v>
      </c>
      <c r="AF295" s="220">
        <v>9</v>
      </c>
      <c r="AG295" s="199">
        <f t="shared" si="250"/>
        <v>278</v>
      </c>
      <c r="AH295" s="200">
        <f t="shared" si="251"/>
        <v>515</v>
      </c>
      <c r="AI295" s="203">
        <f t="shared" ref="AI295:AJ310" si="261">Y295+AG295</f>
        <v>585</v>
      </c>
      <c r="AJ295" s="204">
        <f t="shared" si="261"/>
        <v>1019</v>
      </c>
      <c r="AK295" s="193">
        <v>0</v>
      </c>
      <c r="AL295" s="194">
        <v>0</v>
      </c>
      <c r="AM295" s="195">
        <v>0</v>
      </c>
      <c r="AN295" s="196">
        <v>0</v>
      </c>
      <c r="AO295" s="219">
        <v>0</v>
      </c>
      <c r="AP295" s="220">
        <v>0</v>
      </c>
      <c r="AQ295" s="205">
        <f t="shared" si="253"/>
        <v>0</v>
      </c>
      <c r="AR295" s="206">
        <f t="shared" si="254"/>
        <v>0</v>
      </c>
      <c r="AS295" s="193">
        <v>0</v>
      </c>
      <c r="AT295" s="194">
        <v>0</v>
      </c>
      <c r="AU295" s="195">
        <v>0</v>
      </c>
      <c r="AV295" s="196">
        <v>0</v>
      </c>
      <c r="AW295" s="219">
        <v>0</v>
      </c>
      <c r="AX295" s="220">
        <v>0</v>
      </c>
      <c r="AY295" s="205">
        <f t="shared" si="255"/>
        <v>0</v>
      </c>
      <c r="AZ295" s="206">
        <f t="shared" si="256"/>
        <v>0</v>
      </c>
      <c r="BA295" s="207">
        <f t="shared" ref="BA295:BB310" si="262">AQ295+AY295</f>
        <v>0</v>
      </c>
      <c r="BB295" s="204">
        <f t="shared" si="262"/>
        <v>0</v>
      </c>
      <c r="BC295" s="208">
        <f t="shared" ref="BC295:BD310" si="263">Y295+AQ295</f>
        <v>307</v>
      </c>
      <c r="BD295" s="209">
        <f t="shared" si="263"/>
        <v>504</v>
      </c>
      <c r="BE295" s="210">
        <f t="shared" ref="BE295:BF310" si="264">AG295+AY295</f>
        <v>278</v>
      </c>
      <c r="BF295" s="211">
        <f t="shared" si="264"/>
        <v>515</v>
      </c>
      <c r="BG295" s="212">
        <f t="shared" ref="BG295:BH310" si="265">BC295+BE295</f>
        <v>585</v>
      </c>
      <c r="BH295" s="213">
        <f t="shared" si="265"/>
        <v>1019</v>
      </c>
    </row>
    <row r="296" spans="1:60" ht="21" x14ac:dyDescent="0.3">
      <c r="A296" s="214" t="s">
        <v>1093</v>
      </c>
      <c r="B296" s="306">
        <v>13</v>
      </c>
      <c r="C296" s="180">
        <v>18</v>
      </c>
      <c r="D296" s="215" t="s">
        <v>72</v>
      </c>
      <c r="E296" s="182" t="s">
        <v>1166</v>
      </c>
      <c r="F296" s="183" t="s">
        <v>1150</v>
      </c>
      <c r="G296" s="216" t="s">
        <v>1167</v>
      </c>
      <c r="H296" s="217" t="s">
        <v>1168</v>
      </c>
      <c r="I296" s="217" t="s">
        <v>1169</v>
      </c>
      <c r="J296" s="218">
        <v>45951.041666666664</v>
      </c>
      <c r="K296" s="223">
        <f t="shared" si="242"/>
        <v>0.82361111111094942</v>
      </c>
      <c r="L296" s="222">
        <v>9.375E-2</v>
      </c>
      <c r="M296" s="189">
        <f t="shared" si="243"/>
        <v>0.72986111111094942</v>
      </c>
      <c r="N296" s="189">
        <f t="shared" si="244"/>
        <v>0.97916666666424135</v>
      </c>
      <c r="O296" s="190">
        <f t="shared" si="245"/>
        <v>27.516650808759664</v>
      </c>
      <c r="P296" s="190">
        <f t="shared" si="246"/>
        <v>24.384485666109342</v>
      </c>
      <c r="Q296" s="191">
        <f t="shared" si="247"/>
        <v>20.510638297923144</v>
      </c>
      <c r="R296" s="192" t="s">
        <v>57</v>
      </c>
      <c r="S296" s="193">
        <v>69</v>
      </c>
      <c r="T296" s="194">
        <v>1</v>
      </c>
      <c r="U296" s="195">
        <v>45</v>
      </c>
      <c r="V296" s="196">
        <v>0</v>
      </c>
      <c r="W296" s="219">
        <v>0</v>
      </c>
      <c r="X296" s="220">
        <v>0</v>
      </c>
      <c r="Y296" s="199">
        <f t="shared" si="248"/>
        <v>115</v>
      </c>
      <c r="Z296" s="200">
        <f t="shared" si="249"/>
        <v>160</v>
      </c>
      <c r="AA296" s="193">
        <v>87</v>
      </c>
      <c r="AB296" s="194">
        <v>0</v>
      </c>
      <c r="AC296" s="195">
        <v>44</v>
      </c>
      <c r="AD296" s="201">
        <v>64</v>
      </c>
      <c r="AE296" s="221">
        <v>0</v>
      </c>
      <c r="AF296" s="220">
        <v>0</v>
      </c>
      <c r="AG296" s="199">
        <f t="shared" si="250"/>
        <v>195</v>
      </c>
      <c r="AH296" s="200">
        <f t="shared" si="251"/>
        <v>303</v>
      </c>
      <c r="AI296" s="203">
        <f t="shared" si="261"/>
        <v>310</v>
      </c>
      <c r="AJ296" s="204">
        <f t="shared" si="261"/>
        <v>463</v>
      </c>
      <c r="AK296" s="193">
        <v>3</v>
      </c>
      <c r="AL296" s="194">
        <v>1</v>
      </c>
      <c r="AM296" s="195">
        <v>82</v>
      </c>
      <c r="AN296" s="196">
        <v>0</v>
      </c>
      <c r="AO296" s="219">
        <v>0</v>
      </c>
      <c r="AP296" s="220">
        <v>0</v>
      </c>
      <c r="AQ296" s="205">
        <f t="shared" si="253"/>
        <v>86</v>
      </c>
      <c r="AR296" s="206">
        <f t="shared" si="254"/>
        <v>168</v>
      </c>
      <c r="AS296" s="193">
        <v>3</v>
      </c>
      <c r="AT296" s="194">
        <v>1</v>
      </c>
      <c r="AU296" s="195">
        <v>82</v>
      </c>
      <c r="AV296" s="196">
        <v>0</v>
      </c>
      <c r="AW296" s="219">
        <v>0</v>
      </c>
      <c r="AX296" s="220">
        <v>0</v>
      </c>
      <c r="AY296" s="205">
        <f t="shared" si="255"/>
        <v>86</v>
      </c>
      <c r="AZ296" s="206">
        <f t="shared" si="256"/>
        <v>168</v>
      </c>
      <c r="BA296" s="207">
        <f t="shared" si="262"/>
        <v>172</v>
      </c>
      <c r="BB296" s="204">
        <f t="shared" si="262"/>
        <v>336</v>
      </c>
      <c r="BC296" s="208">
        <f t="shared" si="263"/>
        <v>201</v>
      </c>
      <c r="BD296" s="209">
        <f t="shared" si="263"/>
        <v>328</v>
      </c>
      <c r="BE296" s="210">
        <f t="shared" si="264"/>
        <v>281</v>
      </c>
      <c r="BF296" s="211">
        <f t="shared" si="264"/>
        <v>471</v>
      </c>
      <c r="BG296" s="212">
        <f t="shared" si="265"/>
        <v>482</v>
      </c>
      <c r="BH296" s="213">
        <f t="shared" si="265"/>
        <v>799</v>
      </c>
    </row>
    <row r="297" spans="1:60" ht="21" x14ac:dyDescent="0.3">
      <c r="A297" s="214" t="s">
        <v>1093</v>
      </c>
      <c r="B297" s="306">
        <v>6</v>
      </c>
      <c r="C297" s="180">
        <v>19</v>
      </c>
      <c r="D297" s="215" t="s">
        <v>79</v>
      </c>
      <c r="E297" s="182" t="s">
        <v>1170</v>
      </c>
      <c r="F297" s="183" t="s">
        <v>1068</v>
      </c>
      <c r="G297" s="216" t="s">
        <v>1171</v>
      </c>
      <c r="H297" s="217" t="s">
        <v>1172</v>
      </c>
      <c r="I297" s="217" t="s">
        <v>1173</v>
      </c>
      <c r="J297" s="218">
        <v>45951.1875</v>
      </c>
      <c r="K297" s="223">
        <f t="shared" si="242"/>
        <v>1.5750000000043656</v>
      </c>
      <c r="L297" s="222">
        <v>0.42361111110949423</v>
      </c>
      <c r="M297" s="189">
        <f t="shared" si="243"/>
        <v>1.1513888888948713</v>
      </c>
      <c r="N297" s="189">
        <f t="shared" si="244"/>
        <v>1.6597222222189885</v>
      </c>
      <c r="O297" s="190">
        <f t="shared" si="245"/>
        <v>21.387213510142193</v>
      </c>
      <c r="P297" s="190">
        <f t="shared" si="246"/>
        <v>15.634920634877298</v>
      </c>
      <c r="Q297" s="191">
        <f t="shared" si="247"/>
        <v>14.836820083710917</v>
      </c>
      <c r="R297" s="192" t="s">
        <v>71</v>
      </c>
      <c r="S297" s="193">
        <v>100</v>
      </c>
      <c r="T297" s="194">
        <v>1</v>
      </c>
      <c r="U297" s="195">
        <v>165</v>
      </c>
      <c r="V297" s="196">
        <v>27</v>
      </c>
      <c r="W297" s="219">
        <v>0</v>
      </c>
      <c r="X297" s="220">
        <v>0</v>
      </c>
      <c r="Y297" s="199">
        <f t="shared" si="248"/>
        <v>293</v>
      </c>
      <c r="Z297" s="200">
        <f t="shared" si="249"/>
        <v>485</v>
      </c>
      <c r="AA297" s="193">
        <v>98</v>
      </c>
      <c r="AB297" s="194">
        <v>20</v>
      </c>
      <c r="AC297" s="195">
        <v>133</v>
      </c>
      <c r="AD297" s="201">
        <v>42</v>
      </c>
      <c r="AE297" s="221">
        <v>0</v>
      </c>
      <c r="AF297" s="220">
        <v>5</v>
      </c>
      <c r="AG297" s="199">
        <f t="shared" si="250"/>
        <v>298</v>
      </c>
      <c r="AH297" s="200">
        <f t="shared" si="251"/>
        <v>478</v>
      </c>
      <c r="AI297" s="203">
        <f t="shared" si="261"/>
        <v>591</v>
      </c>
      <c r="AJ297" s="204">
        <f t="shared" si="261"/>
        <v>963</v>
      </c>
      <c r="AK297" s="193">
        <v>0</v>
      </c>
      <c r="AL297" s="194">
        <v>0</v>
      </c>
      <c r="AM297" s="195">
        <v>0</v>
      </c>
      <c r="AN297" s="196">
        <v>0</v>
      </c>
      <c r="AO297" s="219">
        <v>0</v>
      </c>
      <c r="AP297" s="220">
        <v>0</v>
      </c>
      <c r="AQ297" s="205">
        <f t="shared" si="253"/>
        <v>0</v>
      </c>
      <c r="AR297" s="206">
        <f t="shared" si="254"/>
        <v>0</v>
      </c>
      <c r="AS297" s="193">
        <v>0</v>
      </c>
      <c r="AT297" s="194">
        <v>0</v>
      </c>
      <c r="AU297" s="195">
        <v>0</v>
      </c>
      <c r="AV297" s="196">
        <v>0</v>
      </c>
      <c r="AW297" s="219">
        <v>0</v>
      </c>
      <c r="AX297" s="220">
        <v>0</v>
      </c>
      <c r="AY297" s="205">
        <f t="shared" si="255"/>
        <v>0</v>
      </c>
      <c r="AZ297" s="206">
        <f t="shared" si="256"/>
        <v>0</v>
      </c>
      <c r="BA297" s="207">
        <f t="shared" si="262"/>
        <v>0</v>
      </c>
      <c r="BB297" s="204">
        <f t="shared" si="262"/>
        <v>0</v>
      </c>
      <c r="BC297" s="208">
        <f t="shared" si="263"/>
        <v>293</v>
      </c>
      <c r="BD297" s="209">
        <f t="shared" si="263"/>
        <v>485</v>
      </c>
      <c r="BE297" s="210">
        <f t="shared" si="264"/>
        <v>298</v>
      </c>
      <c r="BF297" s="211">
        <f t="shared" si="264"/>
        <v>478</v>
      </c>
      <c r="BG297" s="212">
        <f t="shared" si="265"/>
        <v>591</v>
      </c>
      <c r="BH297" s="213">
        <f t="shared" si="265"/>
        <v>963</v>
      </c>
    </row>
    <row r="298" spans="1:60" ht="21" x14ac:dyDescent="0.3">
      <c r="A298" s="214" t="s">
        <v>1093</v>
      </c>
      <c r="B298" s="306">
        <v>14</v>
      </c>
      <c r="C298" s="180">
        <v>20</v>
      </c>
      <c r="D298" s="215" t="s">
        <v>231</v>
      </c>
      <c r="E298" s="182" t="s">
        <v>1174</v>
      </c>
      <c r="F298" s="183" t="s">
        <v>1029</v>
      </c>
      <c r="G298" s="216" t="s">
        <v>1175</v>
      </c>
      <c r="H298" s="217" t="s">
        <v>1176</v>
      </c>
      <c r="I298" s="217" t="s">
        <v>1177</v>
      </c>
      <c r="J298" s="218">
        <v>45954.25</v>
      </c>
      <c r="K298" s="223">
        <f t="shared" si="242"/>
        <v>0.56805555555911269</v>
      </c>
      <c r="L298" s="222">
        <v>0</v>
      </c>
      <c r="M298" s="189">
        <f t="shared" si="243"/>
        <v>0.56805555555911269</v>
      </c>
      <c r="N298" s="189">
        <f t="shared" si="244"/>
        <v>0.62847222221898846</v>
      </c>
      <c r="O298" s="190">
        <f t="shared" si="245"/>
        <v>44.083129584076033</v>
      </c>
      <c r="P298" s="190">
        <f t="shared" si="246"/>
        <v>44.083129584076033</v>
      </c>
      <c r="Q298" s="191">
        <f t="shared" si="247"/>
        <v>39.845303867608337</v>
      </c>
      <c r="R298" s="192" t="s">
        <v>57</v>
      </c>
      <c r="S298" s="193">
        <v>130</v>
      </c>
      <c r="T298" s="194">
        <v>34</v>
      </c>
      <c r="U298" s="195">
        <v>111</v>
      </c>
      <c r="V298" s="196">
        <v>19</v>
      </c>
      <c r="W298" s="219">
        <v>0</v>
      </c>
      <c r="X298" s="220">
        <v>0</v>
      </c>
      <c r="Y298" s="199">
        <f t="shared" si="248"/>
        <v>294</v>
      </c>
      <c r="Z298" s="200">
        <f t="shared" si="249"/>
        <v>424</v>
      </c>
      <c r="AA298" s="193">
        <v>104</v>
      </c>
      <c r="AB298" s="194">
        <v>0</v>
      </c>
      <c r="AC298" s="195">
        <v>89</v>
      </c>
      <c r="AD298" s="201">
        <v>50</v>
      </c>
      <c r="AE298" s="221">
        <v>0</v>
      </c>
      <c r="AF298" s="220">
        <v>20</v>
      </c>
      <c r="AG298" s="199">
        <f t="shared" si="250"/>
        <v>263</v>
      </c>
      <c r="AH298" s="200">
        <f t="shared" si="251"/>
        <v>422</v>
      </c>
      <c r="AI298" s="203">
        <f t="shared" si="261"/>
        <v>557</v>
      </c>
      <c r="AJ298" s="204">
        <f t="shared" si="261"/>
        <v>846</v>
      </c>
      <c r="AK298" s="193">
        <v>0</v>
      </c>
      <c r="AL298" s="194">
        <v>0</v>
      </c>
      <c r="AM298" s="195">
        <v>22</v>
      </c>
      <c r="AN298" s="196">
        <v>0</v>
      </c>
      <c r="AO298" s="219">
        <v>0</v>
      </c>
      <c r="AP298" s="220">
        <v>0</v>
      </c>
      <c r="AQ298" s="205">
        <f t="shared" si="253"/>
        <v>22</v>
      </c>
      <c r="AR298" s="206">
        <f t="shared" si="254"/>
        <v>44</v>
      </c>
      <c r="AS298" s="193">
        <v>0</v>
      </c>
      <c r="AT298" s="194">
        <v>0</v>
      </c>
      <c r="AU298" s="195">
        <v>22</v>
      </c>
      <c r="AV298" s="196">
        <v>0</v>
      </c>
      <c r="AW298" s="219">
        <v>0</v>
      </c>
      <c r="AX298" s="220">
        <v>0</v>
      </c>
      <c r="AY298" s="205">
        <f t="shared" si="255"/>
        <v>22</v>
      </c>
      <c r="AZ298" s="206">
        <f t="shared" si="256"/>
        <v>44</v>
      </c>
      <c r="BA298" s="207">
        <f t="shared" si="262"/>
        <v>44</v>
      </c>
      <c r="BB298" s="204">
        <f t="shared" si="262"/>
        <v>88</v>
      </c>
      <c r="BC298" s="208">
        <f t="shared" si="263"/>
        <v>316</v>
      </c>
      <c r="BD298" s="209">
        <f t="shared" si="263"/>
        <v>468</v>
      </c>
      <c r="BE298" s="210">
        <f t="shared" si="264"/>
        <v>285</v>
      </c>
      <c r="BF298" s="211">
        <f t="shared" si="264"/>
        <v>466</v>
      </c>
      <c r="BG298" s="212">
        <f t="shared" si="265"/>
        <v>601</v>
      </c>
      <c r="BH298" s="213">
        <f t="shared" si="265"/>
        <v>934</v>
      </c>
    </row>
    <row r="299" spans="1:60" ht="21" x14ac:dyDescent="0.3">
      <c r="A299" s="214" t="s">
        <v>1093</v>
      </c>
      <c r="B299" s="306">
        <v>7</v>
      </c>
      <c r="C299" s="180">
        <v>21</v>
      </c>
      <c r="D299" s="215" t="s">
        <v>65</v>
      </c>
      <c r="E299" s="182" t="s">
        <v>1178</v>
      </c>
      <c r="F299" s="183" t="s">
        <v>1179</v>
      </c>
      <c r="G299" s="216" t="s">
        <v>1180</v>
      </c>
      <c r="H299" s="217" t="s">
        <v>1181</v>
      </c>
      <c r="I299" s="217" t="s">
        <v>1182</v>
      </c>
      <c r="J299" s="218">
        <v>45956.229166666664</v>
      </c>
      <c r="K299" s="223">
        <f t="shared" si="242"/>
        <v>0.48263888889050577</v>
      </c>
      <c r="L299" s="222">
        <v>0</v>
      </c>
      <c r="M299" s="189">
        <f t="shared" si="243"/>
        <v>0.48263888889050577</v>
      </c>
      <c r="N299" s="189">
        <f t="shared" si="244"/>
        <v>0.53819444444525288</v>
      </c>
      <c r="O299" s="190">
        <f t="shared" si="245"/>
        <v>52.661870503420694</v>
      </c>
      <c r="P299" s="190">
        <f t="shared" si="246"/>
        <v>52.661870503420694</v>
      </c>
      <c r="Q299" s="191">
        <f t="shared" si="247"/>
        <v>47.225806451541963</v>
      </c>
      <c r="R299" s="192" t="s">
        <v>71</v>
      </c>
      <c r="S299" s="193">
        <v>123</v>
      </c>
      <c r="T299" s="194">
        <v>3</v>
      </c>
      <c r="U299" s="195">
        <v>159</v>
      </c>
      <c r="V299" s="196">
        <v>35</v>
      </c>
      <c r="W299" s="219">
        <v>0</v>
      </c>
      <c r="X299" s="220">
        <v>1</v>
      </c>
      <c r="Y299" s="199">
        <f t="shared" si="248"/>
        <v>321</v>
      </c>
      <c r="Z299" s="200">
        <f t="shared" si="249"/>
        <v>516</v>
      </c>
      <c r="AA299" s="193">
        <v>96</v>
      </c>
      <c r="AB299" s="194">
        <v>14</v>
      </c>
      <c r="AC299" s="195">
        <v>137</v>
      </c>
      <c r="AD299" s="201">
        <v>38</v>
      </c>
      <c r="AE299" s="221">
        <v>0</v>
      </c>
      <c r="AF299" s="220">
        <v>4</v>
      </c>
      <c r="AG299" s="199">
        <f t="shared" si="250"/>
        <v>289</v>
      </c>
      <c r="AH299" s="200">
        <f t="shared" si="251"/>
        <v>468</v>
      </c>
      <c r="AI299" s="203">
        <f t="shared" si="261"/>
        <v>610</v>
      </c>
      <c r="AJ299" s="204">
        <f t="shared" si="261"/>
        <v>984</v>
      </c>
      <c r="AK299" s="193">
        <v>0</v>
      </c>
      <c r="AL299" s="194">
        <v>0</v>
      </c>
      <c r="AM299" s="195">
        <v>0</v>
      </c>
      <c r="AN299" s="196">
        <v>0</v>
      </c>
      <c r="AO299" s="219">
        <v>0</v>
      </c>
      <c r="AP299" s="220">
        <v>0</v>
      </c>
      <c r="AQ299" s="205">
        <f t="shared" si="253"/>
        <v>0</v>
      </c>
      <c r="AR299" s="206">
        <f t="shared" si="254"/>
        <v>0</v>
      </c>
      <c r="AS299" s="193">
        <v>0</v>
      </c>
      <c r="AT299" s="194">
        <v>0</v>
      </c>
      <c r="AU299" s="195">
        <v>0</v>
      </c>
      <c r="AV299" s="196">
        <v>0</v>
      </c>
      <c r="AW299" s="219">
        <v>0</v>
      </c>
      <c r="AX299" s="220">
        <v>0</v>
      </c>
      <c r="AY299" s="205">
        <f t="shared" si="255"/>
        <v>0</v>
      </c>
      <c r="AZ299" s="206">
        <f t="shared" si="256"/>
        <v>0</v>
      </c>
      <c r="BA299" s="207">
        <f t="shared" si="262"/>
        <v>0</v>
      </c>
      <c r="BB299" s="204">
        <f t="shared" si="262"/>
        <v>0</v>
      </c>
      <c r="BC299" s="208">
        <f t="shared" si="263"/>
        <v>321</v>
      </c>
      <c r="BD299" s="209">
        <f t="shared" si="263"/>
        <v>516</v>
      </c>
      <c r="BE299" s="210">
        <f t="shared" si="264"/>
        <v>289</v>
      </c>
      <c r="BF299" s="211">
        <f t="shared" si="264"/>
        <v>468</v>
      </c>
      <c r="BG299" s="212">
        <f t="shared" si="265"/>
        <v>610</v>
      </c>
      <c r="BH299" s="213">
        <f t="shared" si="265"/>
        <v>984</v>
      </c>
    </row>
    <row r="300" spans="1:60" ht="21" x14ac:dyDescent="0.3">
      <c r="A300" s="214" t="s">
        <v>1093</v>
      </c>
      <c r="B300" s="306">
        <v>15</v>
      </c>
      <c r="C300" s="180">
        <v>22</v>
      </c>
      <c r="D300" s="215" t="s">
        <v>655</v>
      </c>
      <c r="E300" s="182" t="s">
        <v>1183</v>
      </c>
      <c r="F300" s="183" t="s">
        <v>1184</v>
      </c>
      <c r="G300" s="216" t="s">
        <v>1185</v>
      </c>
      <c r="H300" s="217" t="s">
        <v>1186</v>
      </c>
      <c r="I300" s="217" t="s">
        <v>1187</v>
      </c>
      <c r="J300" s="218">
        <v>45958.625</v>
      </c>
      <c r="K300" s="223">
        <f t="shared" si="242"/>
        <v>0.52847222222044365</v>
      </c>
      <c r="L300" s="222">
        <v>0</v>
      </c>
      <c r="M300" s="189">
        <f t="shared" si="243"/>
        <v>0.52847222222044365</v>
      </c>
      <c r="N300" s="189">
        <f t="shared" si="244"/>
        <v>0.76041666666424135</v>
      </c>
      <c r="O300" s="190">
        <f t="shared" si="245"/>
        <v>24.362680683393425</v>
      </c>
      <c r="P300" s="190">
        <f t="shared" si="246"/>
        <v>24.362680683393425</v>
      </c>
      <c r="Q300" s="191">
        <f t="shared" si="247"/>
        <v>16.931506849369072</v>
      </c>
      <c r="R300" s="192" t="s">
        <v>57</v>
      </c>
      <c r="S300" s="193">
        <v>95</v>
      </c>
      <c r="T300" s="194">
        <v>0</v>
      </c>
      <c r="U300" s="195">
        <v>57</v>
      </c>
      <c r="V300" s="196">
        <v>0</v>
      </c>
      <c r="W300" s="219">
        <v>0</v>
      </c>
      <c r="X300" s="220">
        <v>0</v>
      </c>
      <c r="Y300" s="199">
        <f t="shared" si="248"/>
        <v>152</v>
      </c>
      <c r="Z300" s="200">
        <f t="shared" si="249"/>
        <v>209</v>
      </c>
      <c r="AA300" s="193">
        <v>103</v>
      </c>
      <c r="AB300" s="194">
        <v>0</v>
      </c>
      <c r="AC300" s="195">
        <v>51</v>
      </c>
      <c r="AD300" s="201">
        <v>0</v>
      </c>
      <c r="AE300" s="221">
        <v>0</v>
      </c>
      <c r="AF300" s="220">
        <v>3</v>
      </c>
      <c r="AG300" s="199">
        <f t="shared" si="250"/>
        <v>157</v>
      </c>
      <c r="AH300" s="200">
        <f t="shared" si="251"/>
        <v>211</v>
      </c>
      <c r="AI300" s="203">
        <f t="shared" si="261"/>
        <v>309</v>
      </c>
      <c r="AJ300" s="204">
        <f t="shared" si="261"/>
        <v>420</v>
      </c>
      <c r="AK300" s="193">
        <v>0</v>
      </c>
      <c r="AL300" s="194">
        <v>0</v>
      </c>
      <c r="AM300" s="195">
        <v>0</v>
      </c>
      <c r="AN300" s="196">
        <v>0</v>
      </c>
      <c r="AO300" s="219">
        <v>0</v>
      </c>
      <c r="AP300" s="220">
        <v>0</v>
      </c>
      <c r="AQ300" s="205">
        <f t="shared" si="253"/>
        <v>0</v>
      </c>
      <c r="AR300" s="206">
        <f t="shared" si="254"/>
        <v>0</v>
      </c>
      <c r="AS300" s="193">
        <v>0</v>
      </c>
      <c r="AT300" s="194">
        <v>0</v>
      </c>
      <c r="AU300" s="195">
        <v>0</v>
      </c>
      <c r="AV300" s="196">
        <v>0</v>
      </c>
      <c r="AW300" s="219">
        <v>0</v>
      </c>
      <c r="AX300" s="220">
        <v>0</v>
      </c>
      <c r="AY300" s="205">
        <f t="shared" si="255"/>
        <v>0</v>
      </c>
      <c r="AZ300" s="206">
        <f t="shared" si="256"/>
        <v>0</v>
      </c>
      <c r="BA300" s="207">
        <f t="shared" si="262"/>
        <v>0</v>
      </c>
      <c r="BB300" s="204">
        <f t="shared" si="262"/>
        <v>0</v>
      </c>
      <c r="BC300" s="208">
        <f t="shared" si="263"/>
        <v>152</v>
      </c>
      <c r="BD300" s="209">
        <f t="shared" si="263"/>
        <v>209</v>
      </c>
      <c r="BE300" s="210">
        <f t="shared" si="264"/>
        <v>157</v>
      </c>
      <c r="BF300" s="211">
        <f t="shared" si="264"/>
        <v>211</v>
      </c>
      <c r="BG300" s="212">
        <f t="shared" si="265"/>
        <v>309</v>
      </c>
      <c r="BH300" s="213">
        <f t="shared" si="265"/>
        <v>420</v>
      </c>
    </row>
    <row r="301" spans="1:60" ht="21" x14ac:dyDescent="0.3">
      <c r="A301" s="214" t="s">
        <v>1093</v>
      </c>
      <c r="B301" s="306">
        <v>16</v>
      </c>
      <c r="C301" s="180">
        <v>23</v>
      </c>
      <c r="D301" s="215" t="s">
        <v>58</v>
      </c>
      <c r="E301" s="182" t="s">
        <v>1188</v>
      </c>
      <c r="F301" s="183" t="s">
        <v>1042</v>
      </c>
      <c r="G301" s="216" t="s">
        <v>1189</v>
      </c>
      <c r="H301" s="217" t="s">
        <v>1190</v>
      </c>
      <c r="I301" s="217" t="s">
        <v>1191</v>
      </c>
      <c r="J301" s="218">
        <v>45958.965277777781</v>
      </c>
      <c r="K301" s="223">
        <f t="shared" si="242"/>
        <v>0.91736111111094942</v>
      </c>
      <c r="L301" s="222">
        <v>0</v>
      </c>
      <c r="M301" s="189">
        <f t="shared" si="243"/>
        <v>0.91736111111094942</v>
      </c>
      <c r="N301" s="189">
        <f t="shared" si="244"/>
        <v>0.94444444444525288</v>
      </c>
      <c r="O301" s="190">
        <f t="shared" si="245"/>
        <v>44.012112036343865</v>
      </c>
      <c r="P301" s="190">
        <f t="shared" si="246"/>
        <v>44.012112036343865</v>
      </c>
      <c r="Q301" s="191">
        <f t="shared" si="247"/>
        <v>42.7499999999634</v>
      </c>
      <c r="R301" s="192" t="s">
        <v>57</v>
      </c>
      <c r="S301" s="193">
        <v>133</v>
      </c>
      <c r="T301" s="194">
        <v>0</v>
      </c>
      <c r="U301" s="195">
        <v>224</v>
      </c>
      <c r="V301" s="196">
        <v>137</v>
      </c>
      <c r="W301" s="219">
        <v>0</v>
      </c>
      <c r="X301" s="220">
        <v>1</v>
      </c>
      <c r="Y301" s="199">
        <f t="shared" si="248"/>
        <v>495</v>
      </c>
      <c r="Z301" s="200">
        <f t="shared" si="249"/>
        <v>857</v>
      </c>
      <c r="AA301" s="193">
        <v>86</v>
      </c>
      <c r="AB301" s="194">
        <v>0</v>
      </c>
      <c r="AC301" s="195">
        <v>208</v>
      </c>
      <c r="AD301" s="201">
        <v>160</v>
      </c>
      <c r="AE301" s="221">
        <v>0</v>
      </c>
      <c r="AF301" s="220">
        <v>20</v>
      </c>
      <c r="AG301" s="199">
        <f t="shared" si="250"/>
        <v>474</v>
      </c>
      <c r="AH301" s="200">
        <f t="shared" si="251"/>
        <v>862</v>
      </c>
      <c r="AI301" s="203">
        <f t="shared" si="261"/>
        <v>969</v>
      </c>
      <c r="AJ301" s="204">
        <f t="shared" si="261"/>
        <v>1719</v>
      </c>
      <c r="AK301" s="193">
        <v>0</v>
      </c>
      <c r="AL301" s="194">
        <v>0</v>
      </c>
      <c r="AM301" s="195">
        <v>0</v>
      </c>
      <c r="AN301" s="196">
        <v>0</v>
      </c>
      <c r="AO301" s="219">
        <v>0</v>
      </c>
      <c r="AP301" s="220">
        <v>0</v>
      </c>
      <c r="AQ301" s="205">
        <f t="shared" si="253"/>
        <v>0</v>
      </c>
      <c r="AR301" s="206">
        <f t="shared" si="254"/>
        <v>0</v>
      </c>
      <c r="AS301" s="193">
        <v>0</v>
      </c>
      <c r="AT301" s="194">
        <v>0</v>
      </c>
      <c r="AU301" s="195">
        <v>0</v>
      </c>
      <c r="AV301" s="196">
        <v>0</v>
      </c>
      <c r="AW301" s="219">
        <v>0</v>
      </c>
      <c r="AX301" s="220">
        <v>0</v>
      </c>
      <c r="AY301" s="205">
        <f t="shared" si="255"/>
        <v>0</v>
      </c>
      <c r="AZ301" s="206">
        <f t="shared" si="256"/>
        <v>0</v>
      </c>
      <c r="BA301" s="207">
        <f t="shared" si="262"/>
        <v>0</v>
      </c>
      <c r="BB301" s="204">
        <f t="shared" si="262"/>
        <v>0</v>
      </c>
      <c r="BC301" s="208">
        <f t="shared" si="263"/>
        <v>495</v>
      </c>
      <c r="BD301" s="209">
        <f t="shared" si="263"/>
        <v>857</v>
      </c>
      <c r="BE301" s="210">
        <f t="shared" si="264"/>
        <v>474</v>
      </c>
      <c r="BF301" s="211">
        <f t="shared" si="264"/>
        <v>862</v>
      </c>
      <c r="BG301" s="212">
        <f t="shared" si="265"/>
        <v>969</v>
      </c>
      <c r="BH301" s="213">
        <f t="shared" si="265"/>
        <v>1719</v>
      </c>
    </row>
    <row r="302" spans="1:60" ht="21" x14ac:dyDescent="0.3">
      <c r="A302" s="214" t="s">
        <v>1093</v>
      </c>
      <c r="B302" s="306">
        <v>8</v>
      </c>
      <c r="C302" s="180">
        <v>24</v>
      </c>
      <c r="D302" s="215" t="s">
        <v>79</v>
      </c>
      <c r="E302" s="182" t="s">
        <v>1192</v>
      </c>
      <c r="F302" s="183" t="s">
        <v>1096</v>
      </c>
      <c r="G302" s="216" t="s">
        <v>1193</v>
      </c>
      <c r="H302" s="217" t="s">
        <v>1194</v>
      </c>
      <c r="I302" s="217" t="s">
        <v>1195</v>
      </c>
      <c r="J302" s="218">
        <v>45959.329861111109</v>
      </c>
      <c r="K302" s="223">
        <f t="shared" si="242"/>
        <v>0.51736111110949423</v>
      </c>
      <c r="L302" s="222">
        <v>0</v>
      </c>
      <c r="M302" s="189">
        <f t="shared" si="243"/>
        <v>0.51736111110949423</v>
      </c>
      <c r="N302" s="189">
        <f t="shared" si="244"/>
        <v>0.54166666666424135</v>
      </c>
      <c r="O302" s="190">
        <f t="shared" si="245"/>
        <v>48.563758389413522</v>
      </c>
      <c r="P302" s="190">
        <f t="shared" si="246"/>
        <v>48.563758389413522</v>
      </c>
      <c r="Q302" s="191">
        <f t="shared" si="247"/>
        <v>46.384615384823071</v>
      </c>
      <c r="R302" s="192" t="s">
        <v>71</v>
      </c>
      <c r="S302" s="193">
        <v>122</v>
      </c>
      <c r="T302" s="194">
        <v>1</v>
      </c>
      <c r="U302" s="195">
        <v>171</v>
      </c>
      <c r="V302" s="196">
        <v>22</v>
      </c>
      <c r="W302" s="219">
        <v>0</v>
      </c>
      <c r="X302" s="220">
        <v>1</v>
      </c>
      <c r="Y302" s="199">
        <f t="shared" si="248"/>
        <v>317</v>
      </c>
      <c r="Z302" s="200">
        <f t="shared" si="249"/>
        <v>511</v>
      </c>
      <c r="AA302" s="193">
        <v>101</v>
      </c>
      <c r="AB302" s="194">
        <v>17</v>
      </c>
      <c r="AC302" s="195">
        <v>129</v>
      </c>
      <c r="AD302" s="201">
        <v>34</v>
      </c>
      <c r="AE302" s="221">
        <v>0</v>
      </c>
      <c r="AF302" s="220">
        <v>5</v>
      </c>
      <c r="AG302" s="199">
        <f t="shared" si="250"/>
        <v>286</v>
      </c>
      <c r="AH302" s="200">
        <f t="shared" si="251"/>
        <v>454</v>
      </c>
      <c r="AI302" s="203">
        <f t="shared" si="261"/>
        <v>603</v>
      </c>
      <c r="AJ302" s="204">
        <f t="shared" si="261"/>
        <v>965</v>
      </c>
      <c r="AK302" s="193">
        <v>0</v>
      </c>
      <c r="AL302" s="194">
        <v>0</v>
      </c>
      <c r="AM302" s="195">
        <v>0</v>
      </c>
      <c r="AN302" s="196">
        <v>0</v>
      </c>
      <c r="AO302" s="219">
        <v>0</v>
      </c>
      <c r="AP302" s="220">
        <v>0</v>
      </c>
      <c r="AQ302" s="205">
        <f t="shared" si="253"/>
        <v>0</v>
      </c>
      <c r="AR302" s="206">
        <f t="shared" si="254"/>
        <v>0</v>
      </c>
      <c r="AS302" s="193">
        <v>0</v>
      </c>
      <c r="AT302" s="194">
        <v>0</v>
      </c>
      <c r="AU302" s="195">
        <v>0</v>
      </c>
      <c r="AV302" s="196">
        <v>0</v>
      </c>
      <c r="AW302" s="219">
        <v>0</v>
      </c>
      <c r="AX302" s="220">
        <v>0</v>
      </c>
      <c r="AY302" s="205">
        <f t="shared" si="255"/>
        <v>0</v>
      </c>
      <c r="AZ302" s="206">
        <f t="shared" si="256"/>
        <v>0</v>
      </c>
      <c r="BA302" s="207">
        <f t="shared" si="262"/>
        <v>0</v>
      </c>
      <c r="BB302" s="204">
        <f t="shared" si="262"/>
        <v>0</v>
      </c>
      <c r="BC302" s="208">
        <f t="shared" si="263"/>
        <v>317</v>
      </c>
      <c r="BD302" s="209">
        <f t="shared" si="263"/>
        <v>511</v>
      </c>
      <c r="BE302" s="210">
        <f t="shared" si="264"/>
        <v>286</v>
      </c>
      <c r="BF302" s="211">
        <f t="shared" si="264"/>
        <v>454</v>
      </c>
      <c r="BG302" s="212">
        <f t="shared" si="265"/>
        <v>603</v>
      </c>
      <c r="BH302" s="213">
        <f t="shared" si="265"/>
        <v>965</v>
      </c>
    </row>
    <row r="303" spans="1:60" ht="21" x14ac:dyDescent="0.3">
      <c r="A303" s="214" t="s">
        <v>1093</v>
      </c>
      <c r="B303" s="306">
        <v>17</v>
      </c>
      <c r="C303" s="180">
        <v>25</v>
      </c>
      <c r="D303" s="215" t="s">
        <v>72</v>
      </c>
      <c r="E303" s="182" t="s">
        <v>1196</v>
      </c>
      <c r="F303" s="183" t="s">
        <v>1184</v>
      </c>
      <c r="G303" s="216" t="s">
        <v>1197</v>
      </c>
      <c r="H303" s="217" t="s">
        <v>1198</v>
      </c>
      <c r="I303" s="217" t="s">
        <v>1199</v>
      </c>
      <c r="J303" s="218">
        <v>45959.666666666664</v>
      </c>
      <c r="K303" s="223">
        <f t="shared" si="242"/>
        <v>0.59375</v>
      </c>
      <c r="L303" s="222">
        <v>0</v>
      </c>
      <c r="M303" s="189">
        <f t="shared" si="243"/>
        <v>0.59375</v>
      </c>
      <c r="N303" s="189">
        <f t="shared" si="244"/>
        <v>0.65277777777373558</v>
      </c>
      <c r="O303" s="190">
        <f t="shared" si="245"/>
        <v>32.421052631578945</v>
      </c>
      <c r="P303" s="190">
        <f t="shared" si="246"/>
        <v>32.421052631578945</v>
      </c>
      <c r="Q303" s="191">
        <f t="shared" si="247"/>
        <v>29.489361702310266</v>
      </c>
      <c r="R303" s="192" t="s">
        <v>57</v>
      </c>
      <c r="S303" s="193">
        <v>65</v>
      </c>
      <c r="T303" s="194">
        <v>29</v>
      </c>
      <c r="U303" s="195">
        <v>32</v>
      </c>
      <c r="V303" s="196">
        <v>3</v>
      </c>
      <c r="W303" s="219">
        <v>1</v>
      </c>
      <c r="X303" s="220">
        <v>0</v>
      </c>
      <c r="Y303" s="199">
        <f t="shared" si="248"/>
        <v>130</v>
      </c>
      <c r="Z303" s="200">
        <f t="shared" si="249"/>
        <v>165</v>
      </c>
      <c r="AA303" s="193">
        <v>108</v>
      </c>
      <c r="AB303" s="194">
        <v>1</v>
      </c>
      <c r="AC303" s="195">
        <v>36</v>
      </c>
      <c r="AD303" s="201">
        <v>145</v>
      </c>
      <c r="AE303" s="221">
        <v>0</v>
      </c>
      <c r="AF303" s="220">
        <v>0</v>
      </c>
      <c r="AG303" s="199">
        <f t="shared" si="250"/>
        <v>290</v>
      </c>
      <c r="AH303" s="200">
        <f t="shared" si="251"/>
        <v>471</v>
      </c>
      <c r="AI303" s="203">
        <f t="shared" si="261"/>
        <v>420</v>
      </c>
      <c r="AJ303" s="204">
        <f t="shared" si="261"/>
        <v>636</v>
      </c>
      <c r="AK303" s="193">
        <v>0</v>
      </c>
      <c r="AL303" s="194">
        <v>0</v>
      </c>
      <c r="AM303" s="195">
        <v>21</v>
      </c>
      <c r="AN303" s="196">
        <v>0</v>
      </c>
      <c r="AO303" s="219">
        <v>0</v>
      </c>
      <c r="AP303" s="220">
        <v>0</v>
      </c>
      <c r="AQ303" s="205">
        <f t="shared" si="253"/>
        <v>21</v>
      </c>
      <c r="AR303" s="206">
        <f t="shared" si="254"/>
        <v>42</v>
      </c>
      <c r="AS303" s="193">
        <v>0</v>
      </c>
      <c r="AT303" s="194">
        <v>0</v>
      </c>
      <c r="AU303" s="195">
        <v>21</v>
      </c>
      <c r="AV303" s="196">
        <v>0</v>
      </c>
      <c r="AW303" s="219">
        <v>0</v>
      </c>
      <c r="AX303" s="220">
        <v>0</v>
      </c>
      <c r="AY303" s="205">
        <f t="shared" si="255"/>
        <v>21</v>
      </c>
      <c r="AZ303" s="206">
        <f t="shared" si="256"/>
        <v>42</v>
      </c>
      <c r="BA303" s="207">
        <f t="shared" si="262"/>
        <v>42</v>
      </c>
      <c r="BB303" s="204">
        <f t="shared" si="262"/>
        <v>84</v>
      </c>
      <c r="BC303" s="208">
        <f t="shared" si="263"/>
        <v>151</v>
      </c>
      <c r="BD303" s="209">
        <f t="shared" si="263"/>
        <v>207</v>
      </c>
      <c r="BE303" s="210">
        <f t="shared" si="264"/>
        <v>311</v>
      </c>
      <c r="BF303" s="211">
        <f t="shared" si="264"/>
        <v>513</v>
      </c>
      <c r="BG303" s="212">
        <f t="shared" si="265"/>
        <v>462</v>
      </c>
      <c r="BH303" s="213">
        <f t="shared" si="265"/>
        <v>720</v>
      </c>
    </row>
    <row r="304" spans="1:60" ht="21.6" thickBot="1" x14ac:dyDescent="0.35">
      <c r="A304" s="214" t="s">
        <v>1093</v>
      </c>
      <c r="B304" s="306">
        <v>18</v>
      </c>
      <c r="C304" s="180">
        <v>26</v>
      </c>
      <c r="D304" s="215" t="s">
        <v>51</v>
      </c>
      <c r="E304" s="182" t="s">
        <v>1200</v>
      </c>
      <c r="F304" s="183" t="s">
        <v>1068</v>
      </c>
      <c r="G304" s="216" t="s">
        <v>1201</v>
      </c>
      <c r="H304" s="217" t="s">
        <v>1202</v>
      </c>
      <c r="I304" s="217" t="s">
        <v>1203</v>
      </c>
      <c r="J304" s="218">
        <v>45961.375</v>
      </c>
      <c r="K304" s="223">
        <f t="shared" si="242"/>
        <v>0.55555555555474712</v>
      </c>
      <c r="L304" s="222">
        <v>0</v>
      </c>
      <c r="M304" s="189">
        <f t="shared" si="243"/>
        <v>0.55555555555474712</v>
      </c>
      <c r="N304" s="189">
        <f t="shared" si="244"/>
        <v>0.57638888889050577</v>
      </c>
      <c r="O304" s="190">
        <f t="shared" si="245"/>
        <v>49.275000000071707</v>
      </c>
      <c r="P304" s="190">
        <f t="shared" si="246"/>
        <v>49.275000000071707</v>
      </c>
      <c r="Q304" s="191">
        <f t="shared" si="247"/>
        <v>47.493975903481221</v>
      </c>
      <c r="R304" s="192" t="s">
        <v>57</v>
      </c>
      <c r="S304" s="193">
        <v>128</v>
      </c>
      <c r="T304" s="194">
        <v>0</v>
      </c>
      <c r="U304" s="195">
        <v>162</v>
      </c>
      <c r="V304" s="196">
        <v>48</v>
      </c>
      <c r="W304" s="219">
        <v>0</v>
      </c>
      <c r="X304" s="220">
        <v>0</v>
      </c>
      <c r="Y304" s="199">
        <f t="shared" si="248"/>
        <v>338</v>
      </c>
      <c r="Z304" s="200">
        <f t="shared" si="249"/>
        <v>548</v>
      </c>
      <c r="AA304" s="193">
        <v>132</v>
      </c>
      <c r="AB304" s="194">
        <v>0</v>
      </c>
      <c r="AC304" s="195">
        <v>123</v>
      </c>
      <c r="AD304" s="201">
        <v>40</v>
      </c>
      <c r="AE304" s="221">
        <v>0</v>
      </c>
      <c r="AF304" s="220">
        <v>24</v>
      </c>
      <c r="AG304" s="199">
        <f t="shared" si="250"/>
        <v>319</v>
      </c>
      <c r="AH304" s="200">
        <f t="shared" si="251"/>
        <v>506</v>
      </c>
      <c r="AI304" s="203">
        <f t="shared" si="261"/>
        <v>657</v>
      </c>
      <c r="AJ304" s="204">
        <f t="shared" si="261"/>
        <v>1054</v>
      </c>
      <c r="AK304" s="193">
        <v>0</v>
      </c>
      <c r="AL304" s="194">
        <v>0</v>
      </c>
      <c r="AM304" s="195">
        <v>0</v>
      </c>
      <c r="AN304" s="196">
        <v>0</v>
      </c>
      <c r="AO304" s="219">
        <v>0</v>
      </c>
      <c r="AP304" s="220">
        <v>0</v>
      </c>
      <c r="AQ304" s="205">
        <f t="shared" si="253"/>
        <v>0</v>
      </c>
      <c r="AR304" s="206">
        <f t="shared" si="254"/>
        <v>0</v>
      </c>
      <c r="AS304" s="193">
        <v>0</v>
      </c>
      <c r="AT304" s="194">
        <v>0</v>
      </c>
      <c r="AU304" s="195">
        <v>0</v>
      </c>
      <c r="AV304" s="196">
        <v>0</v>
      </c>
      <c r="AW304" s="219">
        <v>0</v>
      </c>
      <c r="AX304" s="220">
        <v>0</v>
      </c>
      <c r="AY304" s="205">
        <f t="shared" si="255"/>
        <v>0</v>
      </c>
      <c r="AZ304" s="206">
        <f t="shared" si="256"/>
        <v>0</v>
      </c>
      <c r="BA304" s="207">
        <f t="shared" si="262"/>
        <v>0</v>
      </c>
      <c r="BB304" s="204">
        <f t="shared" si="262"/>
        <v>0</v>
      </c>
      <c r="BC304" s="208">
        <f t="shared" si="263"/>
        <v>338</v>
      </c>
      <c r="BD304" s="209">
        <f t="shared" si="263"/>
        <v>548</v>
      </c>
      <c r="BE304" s="210">
        <f t="shared" si="264"/>
        <v>319</v>
      </c>
      <c r="BF304" s="211">
        <f t="shared" si="264"/>
        <v>506</v>
      </c>
      <c r="BG304" s="212">
        <f t="shared" si="265"/>
        <v>657</v>
      </c>
      <c r="BH304" s="213">
        <f t="shared" si="265"/>
        <v>1054</v>
      </c>
    </row>
    <row r="305" spans="1:60" ht="21.6" hidden="1" thickBot="1" x14ac:dyDescent="0.35">
      <c r="A305" s="214" t="s">
        <v>1093</v>
      </c>
      <c r="B305" s="306">
        <v>0</v>
      </c>
      <c r="C305" s="180"/>
      <c r="D305" s="215"/>
      <c r="E305" s="182"/>
      <c r="F305" s="183"/>
      <c r="G305" s="216"/>
      <c r="H305" s="217"/>
      <c r="I305" s="217"/>
      <c r="J305" s="218"/>
      <c r="K305" s="223"/>
      <c r="L305" s="222"/>
      <c r="M305" s="189"/>
      <c r="N305" s="189"/>
      <c r="O305" s="190"/>
      <c r="P305" s="190"/>
      <c r="Q305" s="191"/>
      <c r="R305" s="192"/>
      <c r="S305" s="193"/>
      <c r="T305" s="194"/>
      <c r="U305" s="195"/>
      <c r="V305" s="196"/>
      <c r="W305" s="219"/>
      <c r="X305" s="220"/>
      <c r="Y305" s="199"/>
      <c r="Z305" s="200"/>
      <c r="AA305" s="193"/>
      <c r="AB305" s="194"/>
      <c r="AC305" s="195"/>
      <c r="AD305" s="201"/>
      <c r="AE305" s="221"/>
      <c r="AF305" s="220"/>
      <c r="AG305" s="199"/>
      <c r="AH305" s="200"/>
      <c r="AI305" s="203"/>
      <c r="AJ305" s="204"/>
      <c r="AK305" s="193"/>
      <c r="AL305" s="194"/>
      <c r="AM305" s="195"/>
      <c r="AN305" s="196"/>
      <c r="AO305" s="219"/>
      <c r="AP305" s="220"/>
      <c r="AQ305" s="205"/>
      <c r="AR305" s="206"/>
      <c r="AS305" s="193"/>
      <c r="AT305" s="194"/>
      <c r="AU305" s="195"/>
      <c r="AV305" s="196"/>
      <c r="AW305" s="219"/>
      <c r="AX305" s="220"/>
      <c r="AY305" s="205"/>
      <c r="AZ305" s="206"/>
      <c r="BA305" s="207"/>
      <c r="BB305" s="204"/>
      <c r="BC305" s="208"/>
      <c r="BD305" s="209"/>
      <c r="BE305" s="210"/>
      <c r="BF305" s="211"/>
      <c r="BG305" s="212"/>
      <c r="BH305" s="213"/>
    </row>
    <row r="306" spans="1:60" ht="21.6" hidden="1" thickBot="1" x14ac:dyDescent="0.35">
      <c r="A306" s="214" t="s">
        <v>1093</v>
      </c>
      <c r="B306" s="306">
        <v>0</v>
      </c>
      <c r="C306" s="180"/>
      <c r="D306" s="215"/>
      <c r="E306" s="182"/>
      <c r="F306" s="183"/>
      <c r="G306" s="216"/>
      <c r="H306" s="217"/>
      <c r="I306" s="217"/>
      <c r="J306" s="218"/>
      <c r="K306" s="223"/>
      <c r="L306" s="222"/>
      <c r="M306" s="189"/>
      <c r="N306" s="189"/>
      <c r="O306" s="190"/>
      <c r="P306" s="190"/>
      <c r="Q306" s="191"/>
      <c r="R306" s="192"/>
      <c r="S306" s="193"/>
      <c r="T306" s="194"/>
      <c r="U306" s="195"/>
      <c r="V306" s="196"/>
      <c r="W306" s="219"/>
      <c r="X306" s="220"/>
      <c r="Y306" s="199"/>
      <c r="Z306" s="200"/>
      <c r="AA306" s="193"/>
      <c r="AB306" s="194"/>
      <c r="AC306" s="195"/>
      <c r="AD306" s="201"/>
      <c r="AE306" s="221"/>
      <c r="AF306" s="220"/>
      <c r="AG306" s="199"/>
      <c r="AH306" s="200"/>
      <c r="AI306" s="203"/>
      <c r="AJ306" s="204"/>
      <c r="AK306" s="193"/>
      <c r="AL306" s="194"/>
      <c r="AM306" s="195"/>
      <c r="AN306" s="196"/>
      <c r="AO306" s="219"/>
      <c r="AP306" s="220"/>
      <c r="AQ306" s="205"/>
      <c r="AR306" s="206"/>
      <c r="AS306" s="193"/>
      <c r="AT306" s="194"/>
      <c r="AU306" s="195"/>
      <c r="AV306" s="196"/>
      <c r="AW306" s="219"/>
      <c r="AX306" s="220"/>
      <c r="AY306" s="205"/>
      <c r="AZ306" s="206"/>
      <c r="BA306" s="207"/>
      <c r="BB306" s="204"/>
      <c r="BC306" s="208"/>
      <c r="BD306" s="209"/>
      <c r="BE306" s="210"/>
      <c r="BF306" s="211"/>
      <c r="BG306" s="212"/>
      <c r="BH306" s="213"/>
    </row>
    <row r="307" spans="1:60" ht="21.6" hidden="1" thickBot="1" x14ac:dyDescent="0.35">
      <c r="A307" s="235" t="s">
        <v>1093</v>
      </c>
      <c r="B307" s="306">
        <v>0</v>
      </c>
      <c r="C307" s="180"/>
      <c r="D307" s="215"/>
      <c r="E307" s="182"/>
      <c r="F307" s="183"/>
      <c r="G307" s="216"/>
      <c r="H307" s="217"/>
      <c r="I307" s="217"/>
      <c r="J307" s="218"/>
      <c r="K307" s="223"/>
      <c r="L307" s="222"/>
      <c r="M307" s="189"/>
      <c r="N307" s="189"/>
      <c r="O307" s="190"/>
      <c r="P307" s="190"/>
      <c r="Q307" s="191"/>
      <c r="R307" s="192"/>
      <c r="S307" s="193"/>
      <c r="T307" s="194"/>
      <c r="U307" s="195"/>
      <c r="V307" s="196"/>
      <c r="W307" s="219"/>
      <c r="X307" s="220"/>
      <c r="Y307" s="199"/>
      <c r="Z307" s="200"/>
      <c r="AA307" s="193"/>
      <c r="AB307" s="194"/>
      <c r="AC307" s="195"/>
      <c r="AD307" s="201"/>
      <c r="AE307" s="221"/>
      <c r="AF307" s="220"/>
      <c r="AG307" s="199"/>
      <c r="AH307" s="200"/>
      <c r="AI307" s="203"/>
      <c r="AJ307" s="204"/>
      <c r="AK307" s="193"/>
      <c r="AL307" s="194"/>
      <c r="AM307" s="195"/>
      <c r="AN307" s="196"/>
      <c r="AO307" s="219"/>
      <c r="AP307" s="220"/>
      <c r="AQ307" s="205"/>
      <c r="AR307" s="206"/>
      <c r="AS307" s="193"/>
      <c r="AT307" s="194"/>
      <c r="AU307" s="195"/>
      <c r="AV307" s="196"/>
      <c r="AW307" s="219"/>
      <c r="AX307" s="220"/>
      <c r="AY307" s="205"/>
      <c r="AZ307" s="206"/>
      <c r="BA307" s="207"/>
      <c r="BB307" s="204"/>
      <c r="BC307" s="208"/>
      <c r="BD307" s="209"/>
      <c r="BE307" s="210"/>
      <c r="BF307" s="211"/>
      <c r="BG307" s="212"/>
      <c r="BH307" s="213"/>
    </row>
    <row r="308" spans="1:60" s="153" customFormat="1" ht="23.4" thickBot="1" x14ac:dyDescent="0.35">
      <c r="A308" s="317" t="s">
        <v>1204</v>
      </c>
      <c r="B308" s="317" t="s">
        <v>1204</v>
      </c>
      <c r="C308" s="324" t="s">
        <v>2</v>
      </c>
      <c r="D308" s="252" t="s">
        <v>1205</v>
      </c>
      <c r="E308" s="318" t="s">
        <v>534</v>
      </c>
      <c r="F308" s="159" t="s">
        <v>5</v>
      </c>
      <c r="G308" s="160" t="s">
        <v>6</v>
      </c>
      <c r="H308" s="161" t="s">
        <v>7</v>
      </c>
      <c r="I308" s="161" t="s">
        <v>8</v>
      </c>
      <c r="J308" s="162" t="s">
        <v>9</v>
      </c>
      <c r="K308" s="163" t="s">
        <v>38</v>
      </c>
      <c r="L308" s="164" t="s">
        <v>38</v>
      </c>
      <c r="M308" s="166" t="s">
        <v>38</v>
      </c>
      <c r="N308" s="166" t="s">
        <v>38</v>
      </c>
      <c r="O308" s="165" t="s">
        <v>39</v>
      </c>
      <c r="P308" s="165" t="s">
        <v>39</v>
      </c>
      <c r="Q308" s="254" t="s">
        <v>39</v>
      </c>
      <c r="R308" s="319" t="s">
        <v>17</v>
      </c>
      <c r="S308" s="169">
        <f t="shared" ref="S308:X308" si="266">SUM(S309:S337)</f>
        <v>2388</v>
      </c>
      <c r="T308" s="170">
        <f t="shared" si="266"/>
        <v>434</v>
      </c>
      <c r="U308" s="171">
        <f t="shared" si="266"/>
        <v>2789</v>
      </c>
      <c r="V308" s="172">
        <f t="shared" si="266"/>
        <v>818</v>
      </c>
      <c r="W308" s="173">
        <f t="shared" si="266"/>
        <v>0</v>
      </c>
      <c r="X308" s="174">
        <f t="shared" si="266"/>
        <v>8</v>
      </c>
      <c r="Y308" s="169">
        <f>SUM(S308:X308)</f>
        <v>6437</v>
      </c>
      <c r="Z308" s="175">
        <f>Y308+SUM(U308:V308)+X308</f>
        <v>10052</v>
      </c>
      <c r="AA308" s="169">
        <f t="shared" ref="AA308:AF308" si="267">SUM(AA309:AA337)</f>
        <v>2318</v>
      </c>
      <c r="AB308" s="170">
        <f t="shared" si="267"/>
        <v>328</v>
      </c>
      <c r="AC308" s="171">
        <f t="shared" si="267"/>
        <v>2445</v>
      </c>
      <c r="AD308" s="320">
        <f t="shared" si="267"/>
        <v>1508</v>
      </c>
      <c r="AE308" s="321">
        <f t="shared" si="267"/>
        <v>0</v>
      </c>
      <c r="AF308" s="174">
        <f t="shared" si="267"/>
        <v>96</v>
      </c>
      <c r="AG308" s="169">
        <f>SUM(AA308:AF308)</f>
        <v>6695</v>
      </c>
      <c r="AH308" s="175">
        <f>AG308+SUM(AC308:AD308)+AF308</f>
        <v>10744</v>
      </c>
      <c r="AI308" s="169">
        <f t="shared" ref="AI308:AJ323" si="268">Y308+AG308</f>
        <v>13132</v>
      </c>
      <c r="AJ308" s="175">
        <f t="shared" si="268"/>
        <v>20796</v>
      </c>
      <c r="AK308" s="169">
        <f t="shared" ref="AK308:AP308" si="269">SUM(AK309:AK337)</f>
        <v>5</v>
      </c>
      <c r="AL308" s="170">
        <f t="shared" si="269"/>
        <v>0</v>
      </c>
      <c r="AM308" s="171">
        <f t="shared" si="269"/>
        <v>83</v>
      </c>
      <c r="AN308" s="172">
        <f t="shared" si="269"/>
        <v>61</v>
      </c>
      <c r="AO308" s="173">
        <f t="shared" si="269"/>
        <v>0</v>
      </c>
      <c r="AP308" s="174">
        <f t="shared" si="269"/>
        <v>0</v>
      </c>
      <c r="AQ308" s="169">
        <f>SUM(AK308:AP308)</f>
        <v>149</v>
      </c>
      <c r="AR308" s="170">
        <f>AQ308+SUM(AM308:AN308)+AP308</f>
        <v>293</v>
      </c>
      <c r="AS308" s="169">
        <f t="shared" ref="AS308:AX308" si="270">SUM(AS309:AS337)</f>
        <v>5</v>
      </c>
      <c r="AT308" s="170">
        <f t="shared" si="270"/>
        <v>0</v>
      </c>
      <c r="AU308" s="171">
        <f t="shared" si="270"/>
        <v>83</v>
      </c>
      <c r="AV308" s="320">
        <f t="shared" si="270"/>
        <v>61</v>
      </c>
      <c r="AW308" s="321">
        <f t="shared" si="270"/>
        <v>0</v>
      </c>
      <c r="AX308" s="174">
        <f t="shared" si="270"/>
        <v>0</v>
      </c>
      <c r="AY308" s="169">
        <f t="shared" si="241"/>
        <v>149</v>
      </c>
      <c r="AZ308" s="170">
        <f t="shared" ref="AZ308:AZ330" si="271">AY308+SUM(AU308:AV308)+AX308</f>
        <v>293</v>
      </c>
      <c r="BA308" s="169">
        <f t="shared" ref="BA308:BB323" si="272">AQ308+AY308</f>
        <v>298</v>
      </c>
      <c r="BB308" s="170">
        <f t="shared" si="272"/>
        <v>586</v>
      </c>
      <c r="BC308" s="169">
        <f t="shared" ref="BC308:BD323" si="273">Y308+AQ308</f>
        <v>6586</v>
      </c>
      <c r="BD308" s="170">
        <f t="shared" si="273"/>
        <v>10345</v>
      </c>
      <c r="BE308" s="169">
        <f t="shared" ref="BE308:BF323" si="274">AG308+AY308</f>
        <v>6844</v>
      </c>
      <c r="BF308" s="176">
        <f t="shared" si="274"/>
        <v>11037</v>
      </c>
      <c r="BG308" s="169">
        <f t="shared" ref="BG308:BH323" si="275">BC308+BE308</f>
        <v>13430</v>
      </c>
      <c r="BH308" s="170">
        <f t="shared" si="275"/>
        <v>21382</v>
      </c>
    </row>
    <row r="309" spans="1:60" ht="21" x14ac:dyDescent="0.3">
      <c r="A309" s="178" t="s">
        <v>1204</v>
      </c>
      <c r="B309" s="306">
        <v>1</v>
      </c>
      <c r="C309" s="180">
        <v>1</v>
      </c>
      <c r="D309" s="215" t="s">
        <v>65</v>
      </c>
      <c r="E309" s="182" t="s">
        <v>1206</v>
      </c>
      <c r="F309" s="183" t="s">
        <v>1207</v>
      </c>
      <c r="G309" s="216" t="s">
        <v>1208</v>
      </c>
      <c r="H309" s="217" t="s">
        <v>1209</v>
      </c>
      <c r="I309" s="217" t="s">
        <v>1210</v>
      </c>
      <c r="J309" s="218">
        <v>45964.034722222219</v>
      </c>
      <c r="K309" s="223">
        <f t="shared" ref="K309:K330" si="276">I309-H309</f>
        <v>0.49166666666860692</v>
      </c>
      <c r="L309" s="222">
        <v>6.9444444452528842E-3</v>
      </c>
      <c r="M309" s="189">
        <f t="shared" ref="M309:M330" si="277">K309-L309</f>
        <v>0.48472222222335404</v>
      </c>
      <c r="N309" s="189">
        <f t="shared" ref="N309:N330" si="278">J309-G309</f>
        <v>0.51736111110949423</v>
      </c>
      <c r="O309" s="190">
        <f t="shared" ref="O309:O330" si="279">BG309/M309/24</f>
        <v>52.435530085837449</v>
      </c>
      <c r="P309" s="190">
        <f t="shared" ref="P309:P330" si="280">BG309/K309/24</f>
        <v>51.694915254033283</v>
      </c>
      <c r="Q309" s="191">
        <f t="shared" ref="Q309:Q330" si="281">BG309/N309/24</f>
        <v>49.127516778677027</v>
      </c>
      <c r="R309" s="192" t="s">
        <v>71</v>
      </c>
      <c r="S309" s="193">
        <v>121</v>
      </c>
      <c r="T309" s="194">
        <v>2</v>
      </c>
      <c r="U309" s="195">
        <v>159</v>
      </c>
      <c r="V309" s="196">
        <v>31</v>
      </c>
      <c r="W309" s="219">
        <v>0</v>
      </c>
      <c r="X309" s="220">
        <v>1</v>
      </c>
      <c r="Y309" s="199">
        <f t="shared" ref="Y309:Y330" si="282">SUM(S309:X309)</f>
        <v>314</v>
      </c>
      <c r="Z309" s="200">
        <f t="shared" ref="Z309:Z330" si="283">Y309+SUM(U309:V309)+X309</f>
        <v>505</v>
      </c>
      <c r="AA309" s="193">
        <v>100</v>
      </c>
      <c r="AB309" s="194">
        <v>18</v>
      </c>
      <c r="AC309" s="195">
        <v>133</v>
      </c>
      <c r="AD309" s="201">
        <v>41</v>
      </c>
      <c r="AE309" s="221">
        <v>0</v>
      </c>
      <c r="AF309" s="220">
        <v>4</v>
      </c>
      <c r="AG309" s="199">
        <f t="shared" ref="AG309:AG330" si="284">SUM(AA309:AF309)</f>
        <v>296</v>
      </c>
      <c r="AH309" s="200">
        <f t="shared" ref="AH309:AH330" si="285">AG309+SUM(AC309:AD309)+AF309</f>
        <v>474</v>
      </c>
      <c r="AI309" s="203">
        <f t="shared" si="268"/>
        <v>610</v>
      </c>
      <c r="AJ309" s="204">
        <f t="shared" si="268"/>
        <v>979</v>
      </c>
      <c r="AK309" s="193">
        <v>0</v>
      </c>
      <c r="AL309" s="194">
        <v>0</v>
      </c>
      <c r="AM309" s="195">
        <v>0</v>
      </c>
      <c r="AN309" s="196">
        <v>0</v>
      </c>
      <c r="AO309" s="219">
        <v>0</v>
      </c>
      <c r="AP309" s="220">
        <v>0</v>
      </c>
      <c r="AQ309" s="205">
        <f t="shared" ref="AQ309:AQ330" si="286">SUM(AK309:AP309)</f>
        <v>0</v>
      </c>
      <c r="AR309" s="206">
        <f t="shared" ref="AR309:AR330" si="287">AQ309+SUM(AM309:AN309)+AP309</f>
        <v>0</v>
      </c>
      <c r="AS309" s="193">
        <v>0</v>
      </c>
      <c r="AT309" s="194">
        <v>0</v>
      </c>
      <c r="AU309" s="195">
        <v>0</v>
      </c>
      <c r="AV309" s="196">
        <v>0</v>
      </c>
      <c r="AW309" s="219">
        <v>0</v>
      </c>
      <c r="AX309" s="220">
        <v>0</v>
      </c>
      <c r="AY309" s="205">
        <f t="shared" ref="AY309:AY330" si="288">SUM(AS309:AX309)</f>
        <v>0</v>
      </c>
      <c r="AZ309" s="206">
        <f t="shared" si="271"/>
        <v>0</v>
      </c>
      <c r="BA309" s="207">
        <f t="shared" si="272"/>
        <v>0</v>
      </c>
      <c r="BB309" s="204">
        <f t="shared" si="272"/>
        <v>0</v>
      </c>
      <c r="BC309" s="208">
        <f t="shared" si="273"/>
        <v>314</v>
      </c>
      <c r="BD309" s="209">
        <f t="shared" si="273"/>
        <v>505</v>
      </c>
      <c r="BE309" s="210">
        <f t="shared" si="274"/>
        <v>296</v>
      </c>
      <c r="BF309" s="211">
        <f t="shared" si="274"/>
        <v>474</v>
      </c>
      <c r="BG309" s="212">
        <f t="shared" si="275"/>
        <v>610</v>
      </c>
      <c r="BH309" s="213">
        <f t="shared" si="275"/>
        <v>979</v>
      </c>
    </row>
    <row r="310" spans="1:60" ht="21" x14ac:dyDescent="0.3">
      <c r="A310" s="214" t="s">
        <v>1204</v>
      </c>
      <c r="B310" s="306">
        <v>1</v>
      </c>
      <c r="C310" s="180">
        <v>2</v>
      </c>
      <c r="D310" s="215" t="s">
        <v>231</v>
      </c>
      <c r="E310" s="182" t="s">
        <v>1211</v>
      </c>
      <c r="F310" s="183" t="s">
        <v>1042</v>
      </c>
      <c r="G310" s="216" t="s">
        <v>1212</v>
      </c>
      <c r="H310" s="217" t="s">
        <v>1213</v>
      </c>
      <c r="I310" s="217" t="s">
        <v>1214</v>
      </c>
      <c r="J310" s="218">
        <v>45966.166666666664</v>
      </c>
      <c r="K310" s="223">
        <f t="shared" si="276"/>
        <v>0.62708333333284827</v>
      </c>
      <c r="L310" s="222">
        <v>0</v>
      </c>
      <c r="M310" s="189">
        <f t="shared" si="277"/>
        <v>0.62708333333284827</v>
      </c>
      <c r="N310" s="189">
        <f t="shared" si="278"/>
        <v>0.65972222221898846</v>
      </c>
      <c r="O310" s="190">
        <f t="shared" si="279"/>
        <v>37.873754152853216</v>
      </c>
      <c r="P310" s="190">
        <f t="shared" si="280"/>
        <v>37.873754152853216</v>
      </c>
      <c r="Q310" s="191">
        <f t="shared" si="281"/>
        <v>36.000000000176463</v>
      </c>
      <c r="R310" s="192" t="s">
        <v>57</v>
      </c>
      <c r="S310" s="193">
        <v>104</v>
      </c>
      <c r="T310" s="194">
        <v>26</v>
      </c>
      <c r="U310" s="195">
        <v>118</v>
      </c>
      <c r="V310" s="196">
        <v>0</v>
      </c>
      <c r="W310" s="219">
        <v>0</v>
      </c>
      <c r="X310" s="220">
        <v>0</v>
      </c>
      <c r="Y310" s="199">
        <f t="shared" si="282"/>
        <v>248</v>
      </c>
      <c r="Z310" s="200">
        <f t="shared" si="283"/>
        <v>366</v>
      </c>
      <c r="AA310" s="193">
        <v>137</v>
      </c>
      <c r="AB310" s="194">
        <v>0</v>
      </c>
      <c r="AC310" s="195">
        <v>119</v>
      </c>
      <c r="AD310" s="201">
        <v>60</v>
      </c>
      <c r="AE310" s="221">
        <v>0</v>
      </c>
      <c r="AF310" s="220">
        <v>6</v>
      </c>
      <c r="AG310" s="199">
        <f t="shared" si="284"/>
        <v>322</v>
      </c>
      <c r="AH310" s="200">
        <f t="shared" si="285"/>
        <v>507</v>
      </c>
      <c r="AI310" s="203">
        <f t="shared" si="268"/>
        <v>570</v>
      </c>
      <c r="AJ310" s="204">
        <f t="shared" si="268"/>
        <v>873</v>
      </c>
      <c r="AK310" s="193">
        <v>0</v>
      </c>
      <c r="AL310" s="194">
        <v>0</v>
      </c>
      <c r="AM310" s="195">
        <v>0</v>
      </c>
      <c r="AN310" s="196">
        <v>0</v>
      </c>
      <c r="AO310" s="219">
        <v>0</v>
      </c>
      <c r="AP310" s="220">
        <v>0</v>
      </c>
      <c r="AQ310" s="205">
        <f t="shared" si="286"/>
        <v>0</v>
      </c>
      <c r="AR310" s="206">
        <f t="shared" si="287"/>
        <v>0</v>
      </c>
      <c r="AS310" s="193">
        <v>0</v>
      </c>
      <c r="AT310" s="194">
        <v>0</v>
      </c>
      <c r="AU310" s="195">
        <v>0</v>
      </c>
      <c r="AV310" s="196">
        <v>0</v>
      </c>
      <c r="AW310" s="219">
        <v>0</v>
      </c>
      <c r="AX310" s="220">
        <v>0</v>
      </c>
      <c r="AY310" s="205">
        <f t="shared" si="288"/>
        <v>0</v>
      </c>
      <c r="AZ310" s="206">
        <f t="shared" si="271"/>
        <v>0</v>
      </c>
      <c r="BA310" s="207">
        <f t="shared" si="272"/>
        <v>0</v>
      </c>
      <c r="BB310" s="204">
        <f t="shared" si="272"/>
        <v>0</v>
      </c>
      <c r="BC310" s="208">
        <f t="shared" si="273"/>
        <v>248</v>
      </c>
      <c r="BD310" s="209">
        <f t="shared" si="273"/>
        <v>366</v>
      </c>
      <c r="BE310" s="210">
        <f t="shared" si="274"/>
        <v>322</v>
      </c>
      <c r="BF310" s="211">
        <f t="shared" si="274"/>
        <v>507</v>
      </c>
      <c r="BG310" s="212">
        <f t="shared" si="275"/>
        <v>570</v>
      </c>
      <c r="BH310" s="213">
        <f t="shared" si="275"/>
        <v>873</v>
      </c>
    </row>
    <row r="311" spans="1:60" ht="21" x14ac:dyDescent="0.3">
      <c r="A311" s="214" t="s">
        <v>1204</v>
      </c>
      <c r="B311" s="306">
        <v>2</v>
      </c>
      <c r="C311" s="180">
        <v>3</v>
      </c>
      <c r="D311" s="215" t="s">
        <v>79</v>
      </c>
      <c r="E311" s="182" t="s">
        <v>1215</v>
      </c>
      <c r="F311" s="183" t="s">
        <v>1125</v>
      </c>
      <c r="G311" s="216" t="s">
        <v>1216</v>
      </c>
      <c r="H311" s="217" t="s">
        <v>1217</v>
      </c>
      <c r="I311" s="217" t="s">
        <v>1218</v>
      </c>
      <c r="J311" s="218">
        <v>45966.75</v>
      </c>
      <c r="K311" s="223">
        <f t="shared" si="276"/>
        <v>0.60347222222480923</v>
      </c>
      <c r="L311" s="222">
        <v>0</v>
      </c>
      <c r="M311" s="189">
        <f t="shared" si="277"/>
        <v>0.60347222222480923</v>
      </c>
      <c r="N311" s="189">
        <f t="shared" si="278"/>
        <v>0.63888888889050577</v>
      </c>
      <c r="O311" s="190">
        <f t="shared" si="279"/>
        <v>42.876869965293757</v>
      </c>
      <c r="P311" s="190">
        <f t="shared" si="280"/>
        <v>42.876869965293757</v>
      </c>
      <c r="Q311" s="191">
        <f t="shared" si="281"/>
        <v>40.499999999897504</v>
      </c>
      <c r="R311" s="192" t="s">
        <v>71</v>
      </c>
      <c r="S311" s="193">
        <v>121</v>
      </c>
      <c r="T311" s="194">
        <v>2</v>
      </c>
      <c r="U311" s="195">
        <v>168</v>
      </c>
      <c r="V311" s="196">
        <v>23</v>
      </c>
      <c r="W311" s="219">
        <v>0</v>
      </c>
      <c r="X311" s="220">
        <v>0</v>
      </c>
      <c r="Y311" s="199">
        <f t="shared" si="282"/>
        <v>314</v>
      </c>
      <c r="Z311" s="200">
        <f t="shared" si="283"/>
        <v>505</v>
      </c>
      <c r="AA311" s="193">
        <v>102</v>
      </c>
      <c r="AB311" s="194">
        <v>20</v>
      </c>
      <c r="AC311" s="195">
        <v>133</v>
      </c>
      <c r="AD311" s="201">
        <v>47</v>
      </c>
      <c r="AE311" s="221">
        <v>0</v>
      </c>
      <c r="AF311" s="220">
        <v>5</v>
      </c>
      <c r="AG311" s="199">
        <f t="shared" si="284"/>
        <v>307</v>
      </c>
      <c r="AH311" s="200">
        <f t="shared" si="285"/>
        <v>492</v>
      </c>
      <c r="AI311" s="203">
        <f t="shared" si="268"/>
        <v>621</v>
      </c>
      <c r="AJ311" s="204">
        <f t="shared" si="268"/>
        <v>997</v>
      </c>
      <c r="AK311" s="193">
        <v>0</v>
      </c>
      <c r="AL311" s="194">
        <v>0</v>
      </c>
      <c r="AM311" s="195">
        <v>0</v>
      </c>
      <c r="AN311" s="196">
        <v>0</v>
      </c>
      <c r="AO311" s="219">
        <v>0</v>
      </c>
      <c r="AP311" s="220">
        <v>0</v>
      </c>
      <c r="AQ311" s="205">
        <f t="shared" si="286"/>
        <v>0</v>
      </c>
      <c r="AR311" s="206">
        <f t="shared" si="287"/>
        <v>0</v>
      </c>
      <c r="AS311" s="193">
        <v>0</v>
      </c>
      <c r="AT311" s="194">
        <v>0</v>
      </c>
      <c r="AU311" s="195">
        <v>0</v>
      </c>
      <c r="AV311" s="196">
        <v>0</v>
      </c>
      <c r="AW311" s="219">
        <v>0</v>
      </c>
      <c r="AX311" s="220">
        <v>0</v>
      </c>
      <c r="AY311" s="205">
        <f t="shared" si="288"/>
        <v>0</v>
      </c>
      <c r="AZ311" s="206">
        <f t="shared" si="271"/>
        <v>0</v>
      </c>
      <c r="BA311" s="207">
        <f t="shared" si="272"/>
        <v>0</v>
      </c>
      <c r="BB311" s="204">
        <f t="shared" si="272"/>
        <v>0</v>
      </c>
      <c r="BC311" s="208">
        <f t="shared" si="273"/>
        <v>314</v>
      </c>
      <c r="BD311" s="209">
        <f t="shared" si="273"/>
        <v>505</v>
      </c>
      <c r="BE311" s="210">
        <f t="shared" si="274"/>
        <v>307</v>
      </c>
      <c r="BF311" s="211">
        <f t="shared" si="274"/>
        <v>492</v>
      </c>
      <c r="BG311" s="212">
        <f t="shared" si="275"/>
        <v>621</v>
      </c>
      <c r="BH311" s="213">
        <f t="shared" si="275"/>
        <v>997</v>
      </c>
    </row>
    <row r="312" spans="1:60" ht="21" x14ac:dyDescent="0.3">
      <c r="A312" s="214" t="s">
        <v>1204</v>
      </c>
      <c r="B312" s="306">
        <v>2</v>
      </c>
      <c r="C312" s="180">
        <v>4</v>
      </c>
      <c r="D312" s="215" t="s">
        <v>72</v>
      </c>
      <c r="E312" s="182" t="s">
        <v>1219</v>
      </c>
      <c r="F312" s="183" t="s">
        <v>1220</v>
      </c>
      <c r="G312" s="216" t="s">
        <v>1221</v>
      </c>
      <c r="H312" s="217" t="s">
        <v>1222</v>
      </c>
      <c r="I312" s="217" t="s">
        <v>1223</v>
      </c>
      <c r="J312" s="218">
        <v>45969.541666666664</v>
      </c>
      <c r="K312" s="223">
        <f t="shared" si="276"/>
        <v>0.72986111111094942</v>
      </c>
      <c r="L312" s="222">
        <v>0</v>
      </c>
      <c r="M312" s="189">
        <f t="shared" si="277"/>
        <v>0.72986111111094942</v>
      </c>
      <c r="N312" s="189">
        <f t="shared" si="278"/>
        <v>0.92361111110949423</v>
      </c>
      <c r="O312" s="190">
        <f t="shared" si="279"/>
        <v>34.652711703147546</v>
      </c>
      <c r="P312" s="190">
        <f t="shared" si="280"/>
        <v>34.652711703147546</v>
      </c>
      <c r="Q312" s="191">
        <f t="shared" si="281"/>
        <v>27.383458646664479</v>
      </c>
      <c r="R312" s="192" t="s">
        <v>57</v>
      </c>
      <c r="S312" s="193">
        <v>46</v>
      </c>
      <c r="T312" s="194">
        <v>44</v>
      </c>
      <c r="U312" s="195">
        <v>13</v>
      </c>
      <c r="V312" s="196">
        <v>110</v>
      </c>
      <c r="W312" s="219">
        <v>0</v>
      </c>
      <c r="X312" s="220">
        <v>0</v>
      </c>
      <c r="Y312" s="199">
        <f t="shared" si="282"/>
        <v>213</v>
      </c>
      <c r="Z312" s="200">
        <f t="shared" si="283"/>
        <v>336</v>
      </c>
      <c r="AA312" s="193">
        <v>138</v>
      </c>
      <c r="AB312" s="194">
        <v>0</v>
      </c>
      <c r="AC312" s="195">
        <v>136</v>
      </c>
      <c r="AD312" s="201">
        <v>120</v>
      </c>
      <c r="AE312" s="221">
        <v>0</v>
      </c>
      <c r="AF312" s="220">
        <v>0</v>
      </c>
      <c r="AG312" s="199">
        <f t="shared" si="284"/>
        <v>394</v>
      </c>
      <c r="AH312" s="200">
        <f t="shared" si="285"/>
        <v>650</v>
      </c>
      <c r="AI312" s="203">
        <f t="shared" si="268"/>
        <v>607</v>
      </c>
      <c r="AJ312" s="204">
        <f t="shared" si="268"/>
        <v>986</v>
      </c>
      <c r="AK312" s="193">
        <v>0</v>
      </c>
      <c r="AL312" s="194">
        <v>0</v>
      </c>
      <c r="AM312" s="195">
        <v>0</v>
      </c>
      <c r="AN312" s="196">
        <v>0</v>
      </c>
      <c r="AO312" s="219">
        <v>0</v>
      </c>
      <c r="AP312" s="220">
        <v>0</v>
      </c>
      <c r="AQ312" s="205">
        <f t="shared" si="286"/>
        <v>0</v>
      </c>
      <c r="AR312" s="206">
        <f t="shared" si="287"/>
        <v>0</v>
      </c>
      <c r="AS312" s="193">
        <v>0</v>
      </c>
      <c r="AT312" s="194">
        <v>0</v>
      </c>
      <c r="AU312" s="195">
        <v>0</v>
      </c>
      <c r="AV312" s="196">
        <v>0</v>
      </c>
      <c r="AW312" s="219">
        <v>0</v>
      </c>
      <c r="AX312" s="220">
        <v>0</v>
      </c>
      <c r="AY312" s="205">
        <f t="shared" si="288"/>
        <v>0</v>
      </c>
      <c r="AZ312" s="206">
        <f t="shared" si="271"/>
        <v>0</v>
      </c>
      <c r="BA312" s="207">
        <f t="shared" si="272"/>
        <v>0</v>
      </c>
      <c r="BB312" s="204">
        <f t="shared" si="272"/>
        <v>0</v>
      </c>
      <c r="BC312" s="208">
        <f t="shared" si="273"/>
        <v>213</v>
      </c>
      <c r="BD312" s="209">
        <f t="shared" si="273"/>
        <v>336</v>
      </c>
      <c r="BE312" s="210">
        <f t="shared" si="274"/>
        <v>394</v>
      </c>
      <c r="BF312" s="211">
        <f t="shared" si="274"/>
        <v>650</v>
      </c>
      <c r="BG312" s="212">
        <f t="shared" si="275"/>
        <v>607</v>
      </c>
      <c r="BH312" s="213">
        <f t="shared" si="275"/>
        <v>986</v>
      </c>
    </row>
    <row r="313" spans="1:60" ht="21" x14ac:dyDescent="0.3">
      <c r="A313" s="214" t="s">
        <v>1204</v>
      </c>
      <c r="B313" s="306">
        <v>3</v>
      </c>
      <c r="C313" s="180">
        <v>5</v>
      </c>
      <c r="D313" s="215" t="s">
        <v>58</v>
      </c>
      <c r="E313" s="182" t="s">
        <v>1224</v>
      </c>
      <c r="F313" s="183" t="s">
        <v>1068</v>
      </c>
      <c r="G313" s="216" t="s">
        <v>1225</v>
      </c>
      <c r="H313" s="217" t="s">
        <v>1226</v>
      </c>
      <c r="I313" s="217" t="s">
        <v>1227</v>
      </c>
      <c r="J313" s="218">
        <v>45969.583333333336</v>
      </c>
      <c r="K313" s="223">
        <f t="shared" si="276"/>
        <v>0.88541666667151731</v>
      </c>
      <c r="L313" s="222">
        <v>0</v>
      </c>
      <c r="M313" s="189">
        <f t="shared" si="277"/>
        <v>0.88541666667151731</v>
      </c>
      <c r="N313" s="189">
        <f t="shared" si="278"/>
        <v>0.99305555555474712</v>
      </c>
      <c r="O313" s="190">
        <f t="shared" si="279"/>
        <v>41.082352940951402</v>
      </c>
      <c r="P313" s="190">
        <f t="shared" si="280"/>
        <v>41.082352940951402</v>
      </c>
      <c r="Q313" s="191">
        <f t="shared" si="281"/>
        <v>36.629370629400448</v>
      </c>
      <c r="R313" s="192" t="s">
        <v>57</v>
      </c>
      <c r="S313" s="193">
        <v>169</v>
      </c>
      <c r="T313" s="194">
        <v>3</v>
      </c>
      <c r="U313" s="195">
        <v>221</v>
      </c>
      <c r="V313" s="196">
        <v>93</v>
      </c>
      <c r="W313" s="219">
        <v>0</v>
      </c>
      <c r="X313" s="220">
        <v>0</v>
      </c>
      <c r="Y313" s="199">
        <f t="shared" si="282"/>
        <v>486</v>
      </c>
      <c r="Z313" s="200">
        <f t="shared" si="283"/>
        <v>800</v>
      </c>
      <c r="AA313" s="193">
        <v>14</v>
      </c>
      <c r="AB313" s="194">
        <v>30</v>
      </c>
      <c r="AC313" s="195">
        <v>0</v>
      </c>
      <c r="AD313" s="201">
        <v>295</v>
      </c>
      <c r="AE313" s="221">
        <v>0</v>
      </c>
      <c r="AF313" s="220">
        <v>0</v>
      </c>
      <c r="AG313" s="199">
        <f t="shared" si="284"/>
        <v>339</v>
      </c>
      <c r="AH313" s="200">
        <f t="shared" si="285"/>
        <v>634</v>
      </c>
      <c r="AI313" s="203">
        <f t="shared" si="268"/>
        <v>825</v>
      </c>
      <c r="AJ313" s="204">
        <f t="shared" si="268"/>
        <v>1434</v>
      </c>
      <c r="AK313" s="193">
        <v>4</v>
      </c>
      <c r="AL313" s="194">
        <v>0</v>
      </c>
      <c r="AM313" s="195">
        <v>0</v>
      </c>
      <c r="AN313" s="196">
        <v>20</v>
      </c>
      <c r="AO313" s="219">
        <v>0</v>
      </c>
      <c r="AP313" s="220">
        <v>0</v>
      </c>
      <c r="AQ313" s="205">
        <f t="shared" si="286"/>
        <v>24</v>
      </c>
      <c r="AR313" s="206">
        <f t="shared" si="287"/>
        <v>44</v>
      </c>
      <c r="AS313" s="193">
        <v>4</v>
      </c>
      <c r="AT313" s="194">
        <v>0</v>
      </c>
      <c r="AU313" s="195">
        <v>0</v>
      </c>
      <c r="AV313" s="196">
        <v>20</v>
      </c>
      <c r="AW313" s="219">
        <v>0</v>
      </c>
      <c r="AX313" s="220">
        <v>0</v>
      </c>
      <c r="AY313" s="205">
        <f t="shared" si="288"/>
        <v>24</v>
      </c>
      <c r="AZ313" s="206">
        <f t="shared" si="271"/>
        <v>44</v>
      </c>
      <c r="BA313" s="207">
        <f t="shared" si="272"/>
        <v>48</v>
      </c>
      <c r="BB313" s="204">
        <f t="shared" si="272"/>
        <v>88</v>
      </c>
      <c r="BC313" s="208">
        <f t="shared" si="273"/>
        <v>510</v>
      </c>
      <c r="BD313" s="209">
        <f t="shared" si="273"/>
        <v>844</v>
      </c>
      <c r="BE313" s="210">
        <f t="shared" si="274"/>
        <v>363</v>
      </c>
      <c r="BF313" s="211">
        <f t="shared" si="274"/>
        <v>678</v>
      </c>
      <c r="BG313" s="212">
        <f t="shared" si="275"/>
        <v>873</v>
      </c>
      <c r="BH313" s="213">
        <f t="shared" si="275"/>
        <v>1522</v>
      </c>
    </row>
    <row r="314" spans="1:60" ht="21" x14ac:dyDescent="0.3">
      <c r="A314" s="214" t="s">
        <v>1204</v>
      </c>
      <c r="B314" s="306">
        <v>4</v>
      </c>
      <c r="C314" s="180">
        <v>6</v>
      </c>
      <c r="D314" s="215" t="s">
        <v>51</v>
      </c>
      <c r="E314" s="182" t="s">
        <v>1228</v>
      </c>
      <c r="F314" s="183" t="s">
        <v>1096</v>
      </c>
      <c r="G314" s="216" t="s">
        <v>1229</v>
      </c>
      <c r="H314" s="217" t="s">
        <v>1230</v>
      </c>
      <c r="I314" s="217" t="s">
        <v>1231</v>
      </c>
      <c r="J314" s="218">
        <v>45970.875</v>
      </c>
      <c r="K314" s="223">
        <f t="shared" si="276"/>
        <v>0.60763888889050577</v>
      </c>
      <c r="L314" s="222">
        <v>0</v>
      </c>
      <c r="M314" s="189">
        <f t="shared" si="277"/>
        <v>0.60763888889050577</v>
      </c>
      <c r="N314" s="189">
        <f t="shared" si="278"/>
        <v>0.69444444444525288</v>
      </c>
      <c r="O314" s="190">
        <f t="shared" si="279"/>
        <v>43.199999999885051</v>
      </c>
      <c r="P314" s="190">
        <f t="shared" si="280"/>
        <v>43.199999999885051</v>
      </c>
      <c r="Q314" s="191">
        <f t="shared" si="281"/>
        <v>37.799999999955993</v>
      </c>
      <c r="R314" s="192" t="s">
        <v>57</v>
      </c>
      <c r="S314" s="193">
        <v>123</v>
      </c>
      <c r="T314" s="194">
        <v>4</v>
      </c>
      <c r="U314" s="195">
        <v>161</v>
      </c>
      <c r="V314" s="196">
        <v>14</v>
      </c>
      <c r="W314" s="219">
        <v>0</v>
      </c>
      <c r="X314" s="220">
        <v>0</v>
      </c>
      <c r="Y314" s="199">
        <f t="shared" si="282"/>
        <v>302</v>
      </c>
      <c r="Z314" s="200">
        <f t="shared" si="283"/>
        <v>477</v>
      </c>
      <c r="AA314" s="193">
        <v>100</v>
      </c>
      <c r="AB314" s="194">
        <v>10</v>
      </c>
      <c r="AC314" s="195">
        <v>137</v>
      </c>
      <c r="AD314" s="201">
        <v>72</v>
      </c>
      <c r="AE314" s="221">
        <v>0</v>
      </c>
      <c r="AF314" s="220">
        <v>9</v>
      </c>
      <c r="AG314" s="199">
        <f t="shared" si="284"/>
        <v>328</v>
      </c>
      <c r="AH314" s="200">
        <f t="shared" si="285"/>
        <v>546</v>
      </c>
      <c r="AI314" s="203">
        <f t="shared" si="268"/>
        <v>630</v>
      </c>
      <c r="AJ314" s="204">
        <f t="shared" si="268"/>
        <v>1023</v>
      </c>
      <c r="AK314" s="193">
        <v>0</v>
      </c>
      <c r="AL314" s="194">
        <v>0</v>
      </c>
      <c r="AM314" s="195">
        <v>0</v>
      </c>
      <c r="AN314" s="196">
        <v>0</v>
      </c>
      <c r="AO314" s="219">
        <v>0</v>
      </c>
      <c r="AP314" s="220">
        <v>0</v>
      </c>
      <c r="AQ314" s="205">
        <f t="shared" si="286"/>
        <v>0</v>
      </c>
      <c r="AR314" s="206">
        <f t="shared" si="287"/>
        <v>0</v>
      </c>
      <c r="AS314" s="193">
        <v>0</v>
      </c>
      <c r="AT314" s="194">
        <v>0</v>
      </c>
      <c r="AU314" s="195">
        <v>0</v>
      </c>
      <c r="AV314" s="196">
        <v>0</v>
      </c>
      <c r="AW314" s="219">
        <v>0</v>
      </c>
      <c r="AX314" s="220">
        <v>0</v>
      </c>
      <c r="AY314" s="205">
        <f t="shared" si="288"/>
        <v>0</v>
      </c>
      <c r="AZ314" s="206">
        <f t="shared" si="271"/>
        <v>0</v>
      </c>
      <c r="BA314" s="207">
        <f t="shared" si="272"/>
        <v>0</v>
      </c>
      <c r="BB314" s="204">
        <f t="shared" si="272"/>
        <v>0</v>
      </c>
      <c r="BC314" s="208">
        <f t="shared" si="273"/>
        <v>302</v>
      </c>
      <c r="BD314" s="209">
        <f t="shared" si="273"/>
        <v>477</v>
      </c>
      <c r="BE314" s="210">
        <f t="shared" si="274"/>
        <v>328</v>
      </c>
      <c r="BF314" s="211">
        <f t="shared" si="274"/>
        <v>546</v>
      </c>
      <c r="BG314" s="212">
        <f t="shared" si="275"/>
        <v>630</v>
      </c>
      <c r="BH314" s="213">
        <f t="shared" si="275"/>
        <v>1023</v>
      </c>
    </row>
    <row r="315" spans="1:60" ht="21" x14ac:dyDescent="0.3">
      <c r="A315" s="214" t="s">
        <v>1204</v>
      </c>
      <c r="B315" s="306">
        <v>5</v>
      </c>
      <c r="C315" s="180">
        <v>7</v>
      </c>
      <c r="D315" s="215" t="s">
        <v>655</v>
      </c>
      <c r="E315" s="182" t="s">
        <v>1232</v>
      </c>
      <c r="F315" s="183" t="s">
        <v>1220</v>
      </c>
      <c r="G315" s="216" t="s">
        <v>1233</v>
      </c>
      <c r="H315" s="217" t="s">
        <v>1234</v>
      </c>
      <c r="I315" s="217" t="s">
        <v>1235</v>
      </c>
      <c r="J315" s="218">
        <v>45971.875</v>
      </c>
      <c r="K315" s="223">
        <f t="shared" si="276"/>
        <v>0.50625000000582077</v>
      </c>
      <c r="L315" s="222">
        <v>0</v>
      </c>
      <c r="M315" s="189">
        <f t="shared" si="277"/>
        <v>0.50625000000582077</v>
      </c>
      <c r="N315" s="189">
        <f t="shared" si="278"/>
        <v>0.6875</v>
      </c>
      <c r="O315" s="190">
        <f t="shared" si="279"/>
        <v>25.514403291887714</v>
      </c>
      <c r="P315" s="190">
        <f t="shared" si="280"/>
        <v>25.514403291887714</v>
      </c>
      <c r="Q315" s="191">
        <f t="shared" si="281"/>
        <v>18.787878787878789</v>
      </c>
      <c r="R315" s="192" t="s">
        <v>57</v>
      </c>
      <c r="S315" s="193">
        <v>99</v>
      </c>
      <c r="T315" s="194">
        <v>0</v>
      </c>
      <c r="U315" s="195">
        <v>56</v>
      </c>
      <c r="V315" s="196">
        <v>0</v>
      </c>
      <c r="W315" s="219">
        <v>0</v>
      </c>
      <c r="X315" s="220">
        <v>0</v>
      </c>
      <c r="Y315" s="199">
        <f t="shared" si="282"/>
        <v>155</v>
      </c>
      <c r="Z315" s="200">
        <f t="shared" si="283"/>
        <v>211</v>
      </c>
      <c r="AA315" s="193">
        <v>103</v>
      </c>
      <c r="AB315" s="194">
        <v>0</v>
      </c>
      <c r="AC315" s="195">
        <v>51</v>
      </c>
      <c r="AD315" s="201">
        <v>0</v>
      </c>
      <c r="AE315" s="221">
        <v>0</v>
      </c>
      <c r="AF315" s="220">
        <v>1</v>
      </c>
      <c r="AG315" s="199">
        <f t="shared" si="284"/>
        <v>155</v>
      </c>
      <c r="AH315" s="200">
        <f t="shared" si="285"/>
        <v>207</v>
      </c>
      <c r="AI315" s="203">
        <f t="shared" si="268"/>
        <v>310</v>
      </c>
      <c r="AJ315" s="204">
        <f t="shared" si="268"/>
        <v>418</v>
      </c>
      <c r="AK315" s="193">
        <v>0</v>
      </c>
      <c r="AL315" s="194">
        <v>0</v>
      </c>
      <c r="AM315" s="195">
        <v>0</v>
      </c>
      <c r="AN315" s="196">
        <v>0</v>
      </c>
      <c r="AO315" s="219">
        <v>0</v>
      </c>
      <c r="AP315" s="220">
        <v>0</v>
      </c>
      <c r="AQ315" s="205">
        <f t="shared" si="286"/>
        <v>0</v>
      </c>
      <c r="AR315" s="206">
        <f t="shared" si="287"/>
        <v>0</v>
      </c>
      <c r="AS315" s="193">
        <v>0</v>
      </c>
      <c r="AT315" s="194">
        <v>0</v>
      </c>
      <c r="AU315" s="195">
        <v>0</v>
      </c>
      <c r="AV315" s="196">
        <v>0</v>
      </c>
      <c r="AW315" s="219">
        <v>0</v>
      </c>
      <c r="AX315" s="220">
        <v>0</v>
      </c>
      <c r="AY315" s="205">
        <f t="shared" si="288"/>
        <v>0</v>
      </c>
      <c r="AZ315" s="206">
        <f t="shared" si="271"/>
        <v>0</v>
      </c>
      <c r="BA315" s="207">
        <f t="shared" si="272"/>
        <v>0</v>
      </c>
      <c r="BB315" s="204">
        <f t="shared" si="272"/>
        <v>0</v>
      </c>
      <c r="BC315" s="208">
        <f t="shared" si="273"/>
        <v>155</v>
      </c>
      <c r="BD315" s="209">
        <f t="shared" si="273"/>
        <v>211</v>
      </c>
      <c r="BE315" s="210">
        <f t="shared" si="274"/>
        <v>155</v>
      </c>
      <c r="BF315" s="211">
        <f t="shared" si="274"/>
        <v>207</v>
      </c>
      <c r="BG315" s="212">
        <f t="shared" si="275"/>
        <v>310</v>
      </c>
      <c r="BH315" s="213">
        <f t="shared" si="275"/>
        <v>418</v>
      </c>
    </row>
    <row r="316" spans="1:60" ht="21" x14ac:dyDescent="0.3">
      <c r="A316" s="214" t="s">
        <v>1204</v>
      </c>
      <c r="B316" s="306">
        <v>3</v>
      </c>
      <c r="C316" s="180">
        <v>8</v>
      </c>
      <c r="D316" s="215" t="s">
        <v>65</v>
      </c>
      <c r="E316" s="182" t="s">
        <v>1236</v>
      </c>
      <c r="F316" s="183" t="s">
        <v>1237</v>
      </c>
      <c r="G316" s="216" t="s">
        <v>1238</v>
      </c>
      <c r="H316" s="217" t="s">
        <v>1239</v>
      </c>
      <c r="I316" s="217" t="s">
        <v>1240</v>
      </c>
      <c r="J316" s="218">
        <v>45971.75</v>
      </c>
      <c r="K316" s="223">
        <f t="shared" si="276"/>
        <v>0.47916666667151731</v>
      </c>
      <c r="L316" s="222">
        <v>0</v>
      </c>
      <c r="M316" s="189">
        <f t="shared" si="277"/>
        <v>0.47916666667151731</v>
      </c>
      <c r="N316" s="189">
        <f t="shared" si="278"/>
        <v>0.51041666666424135</v>
      </c>
      <c r="O316" s="190">
        <f t="shared" si="279"/>
        <v>53.739130434238604</v>
      </c>
      <c r="P316" s="190">
        <f t="shared" si="280"/>
        <v>53.739130434238604</v>
      </c>
      <c r="Q316" s="191">
        <f t="shared" si="281"/>
        <v>50.448979592076455</v>
      </c>
      <c r="R316" s="192" t="s">
        <v>71</v>
      </c>
      <c r="S316" s="193">
        <v>129</v>
      </c>
      <c r="T316" s="194">
        <v>1</v>
      </c>
      <c r="U316" s="195">
        <v>164</v>
      </c>
      <c r="V316" s="196">
        <v>30</v>
      </c>
      <c r="W316" s="219">
        <v>0</v>
      </c>
      <c r="X316" s="220">
        <v>0</v>
      </c>
      <c r="Y316" s="199">
        <f t="shared" si="282"/>
        <v>324</v>
      </c>
      <c r="Z316" s="200">
        <f t="shared" si="283"/>
        <v>518</v>
      </c>
      <c r="AA316" s="193">
        <v>101</v>
      </c>
      <c r="AB316" s="194">
        <v>17</v>
      </c>
      <c r="AC316" s="195">
        <v>135</v>
      </c>
      <c r="AD316" s="201">
        <v>37</v>
      </c>
      <c r="AE316" s="221">
        <v>0</v>
      </c>
      <c r="AF316" s="220">
        <v>4</v>
      </c>
      <c r="AG316" s="199">
        <f t="shared" si="284"/>
        <v>294</v>
      </c>
      <c r="AH316" s="200">
        <f t="shared" si="285"/>
        <v>470</v>
      </c>
      <c r="AI316" s="203">
        <f t="shared" si="268"/>
        <v>618</v>
      </c>
      <c r="AJ316" s="204">
        <f t="shared" si="268"/>
        <v>988</v>
      </c>
      <c r="AK316" s="193">
        <v>0</v>
      </c>
      <c r="AL316" s="194">
        <v>0</v>
      </c>
      <c r="AM316" s="195">
        <v>0</v>
      </c>
      <c r="AN316" s="196">
        <v>0</v>
      </c>
      <c r="AO316" s="219">
        <v>0</v>
      </c>
      <c r="AP316" s="220">
        <v>0</v>
      </c>
      <c r="AQ316" s="205">
        <f t="shared" si="286"/>
        <v>0</v>
      </c>
      <c r="AR316" s="206">
        <f t="shared" si="287"/>
        <v>0</v>
      </c>
      <c r="AS316" s="193">
        <v>0</v>
      </c>
      <c r="AT316" s="194">
        <v>0</v>
      </c>
      <c r="AU316" s="195">
        <v>0</v>
      </c>
      <c r="AV316" s="196">
        <v>0</v>
      </c>
      <c r="AW316" s="219">
        <v>0</v>
      </c>
      <c r="AX316" s="220">
        <v>0</v>
      </c>
      <c r="AY316" s="205">
        <f t="shared" si="288"/>
        <v>0</v>
      </c>
      <c r="AZ316" s="206">
        <f t="shared" si="271"/>
        <v>0</v>
      </c>
      <c r="BA316" s="207">
        <f t="shared" si="272"/>
        <v>0</v>
      </c>
      <c r="BB316" s="204">
        <f t="shared" si="272"/>
        <v>0</v>
      </c>
      <c r="BC316" s="208">
        <f t="shared" si="273"/>
        <v>324</v>
      </c>
      <c r="BD316" s="209">
        <f t="shared" si="273"/>
        <v>518</v>
      </c>
      <c r="BE316" s="210">
        <f t="shared" si="274"/>
        <v>294</v>
      </c>
      <c r="BF316" s="211">
        <f t="shared" si="274"/>
        <v>470</v>
      </c>
      <c r="BG316" s="212">
        <f t="shared" si="275"/>
        <v>618</v>
      </c>
      <c r="BH316" s="213">
        <f t="shared" si="275"/>
        <v>988</v>
      </c>
    </row>
    <row r="317" spans="1:60" ht="21" x14ac:dyDescent="0.3">
      <c r="A317" s="214" t="s">
        <v>1204</v>
      </c>
      <c r="B317" s="306">
        <v>4</v>
      </c>
      <c r="C317" s="180">
        <v>9</v>
      </c>
      <c r="D317" s="215" t="s">
        <v>79</v>
      </c>
      <c r="E317" s="182" t="s">
        <v>1241</v>
      </c>
      <c r="F317" s="183" t="s">
        <v>1155</v>
      </c>
      <c r="G317" s="216" t="s">
        <v>1242</v>
      </c>
      <c r="H317" s="217" t="s">
        <v>1243</v>
      </c>
      <c r="I317" s="217" t="s">
        <v>1244</v>
      </c>
      <c r="J317" s="218">
        <v>45974.430555555555</v>
      </c>
      <c r="K317" s="223">
        <f t="shared" si="276"/>
        <v>0.49583333333430346</v>
      </c>
      <c r="L317" s="222">
        <v>0</v>
      </c>
      <c r="M317" s="189">
        <f t="shared" si="277"/>
        <v>0.49583333333430346</v>
      </c>
      <c r="N317" s="189">
        <f t="shared" si="278"/>
        <v>0.52430555555474712</v>
      </c>
      <c r="O317" s="190">
        <f t="shared" si="279"/>
        <v>52.100840336032519</v>
      </c>
      <c r="P317" s="190">
        <f t="shared" si="280"/>
        <v>52.100840336032519</v>
      </c>
      <c r="Q317" s="191">
        <f t="shared" si="281"/>
        <v>49.271523178883918</v>
      </c>
      <c r="R317" s="192" t="s">
        <v>71</v>
      </c>
      <c r="S317" s="193">
        <v>128</v>
      </c>
      <c r="T317" s="194">
        <v>1</v>
      </c>
      <c r="U317" s="195">
        <v>171</v>
      </c>
      <c r="V317" s="196">
        <v>18</v>
      </c>
      <c r="W317" s="219">
        <v>0</v>
      </c>
      <c r="X317" s="220">
        <v>1</v>
      </c>
      <c r="Y317" s="199">
        <f t="shared" si="282"/>
        <v>319</v>
      </c>
      <c r="Z317" s="200">
        <f t="shared" si="283"/>
        <v>509</v>
      </c>
      <c r="AA317" s="193">
        <v>100</v>
      </c>
      <c r="AB317" s="194">
        <v>16</v>
      </c>
      <c r="AC317" s="195">
        <v>136</v>
      </c>
      <c r="AD317" s="201">
        <v>45</v>
      </c>
      <c r="AE317" s="221">
        <v>0</v>
      </c>
      <c r="AF317" s="220">
        <v>4</v>
      </c>
      <c r="AG317" s="199">
        <f t="shared" si="284"/>
        <v>301</v>
      </c>
      <c r="AH317" s="200">
        <f t="shared" si="285"/>
        <v>486</v>
      </c>
      <c r="AI317" s="203">
        <f t="shared" si="268"/>
        <v>620</v>
      </c>
      <c r="AJ317" s="204">
        <f t="shared" si="268"/>
        <v>995</v>
      </c>
      <c r="AK317" s="193">
        <v>0</v>
      </c>
      <c r="AL317" s="194">
        <v>0</v>
      </c>
      <c r="AM317" s="195">
        <v>0</v>
      </c>
      <c r="AN317" s="196">
        <v>0</v>
      </c>
      <c r="AO317" s="219">
        <v>0</v>
      </c>
      <c r="AP317" s="220">
        <v>0</v>
      </c>
      <c r="AQ317" s="205">
        <f t="shared" si="286"/>
        <v>0</v>
      </c>
      <c r="AR317" s="206">
        <f t="shared" si="287"/>
        <v>0</v>
      </c>
      <c r="AS317" s="193">
        <v>0</v>
      </c>
      <c r="AT317" s="194">
        <v>0</v>
      </c>
      <c r="AU317" s="195">
        <v>0</v>
      </c>
      <c r="AV317" s="196">
        <v>0</v>
      </c>
      <c r="AW317" s="219">
        <v>0</v>
      </c>
      <c r="AX317" s="220">
        <v>0</v>
      </c>
      <c r="AY317" s="205">
        <f t="shared" si="288"/>
        <v>0</v>
      </c>
      <c r="AZ317" s="206">
        <f t="shared" si="271"/>
        <v>0</v>
      </c>
      <c r="BA317" s="207">
        <f t="shared" si="272"/>
        <v>0</v>
      </c>
      <c r="BB317" s="204">
        <f t="shared" si="272"/>
        <v>0</v>
      </c>
      <c r="BC317" s="208">
        <f t="shared" si="273"/>
        <v>319</v>
      </c>
      <c r="BD317" s="209">
        <f t="shared" si="273"/>
        <v>509</v>
      </c>
      <c r="BE317" s="210">
        <f t="shared" si="274"/>
        <v>301</v>
      </c>
      <c r="BF317" s="211">
        <f t="shared" si="274"/>
        <v>486</v>
      </c>
      <c r="BG317" s="212">
        <f t="shared" si="275"/>
        <v>620</v>
      </c>
      <c r="BH317" s="213">
        <f t="shared" si="275"/>
        <v>995</v>
      </c>
    </row>
    <row r="318" spans="1:60" ht="21" x14ac:dyDescent="0.3">
      <c r="A318" s="214" t="s">
        <v>1204</v>
      </c>
      <c r="B318" s="306">
        <v>6</v>
      </c>
      <c r="C318" s="180">
        <v>10</v>
      </c>
      <c r="D318" s="215" t="s">
        <v>231</v>
      </c>
      <c r="E318" s="182" t="s">
        <v>1245</v>
      </c>
      <c r="F318" s="183" t="s">
        <v>1068</v>
      </c>
      <c r="G318" s="216" t="s">
        <v>1246</v>
      </c>
      <c r="H318" s="217" t="s">
        <v>1247</v>
      </c>
      <c r="I318" s="217" t="s">
        <v>1248</v>
      </c>
      <c r="J318" s="218">
        <v>45975.53125</v>
      </c>
      <c r="K318" s="223">
        <f t="shared" si="276"/>
        <v>1.1680555555576575</v>
      </c>
      <c r="L318" s="222">
        <v>0.26041666666424135</v>
      </c>
      <c r="M318" s="189">
        <f t="shared" si="277"/>
        <v>0.90763888889341615</v>
      </c>
      <c r="N318" s="189">
        <f t="shared" si="278"/>
        <v>1.1909722222189885</v>
      </c>
      <c r="O318" s="190">
        <f t="shared" si="279"/>
        <v>26.396327467351124</v>
      </c>
      <c r="P318" s="190">
        <f t="shared" si="280"/>
        <v>20.511296076062973</v>
      </c>
      <c r="Q318" s="191">
        <f t="shared" si="281"/>
        <v>20.116618075856369</v>
      </c>
      <c r="R318" s="192" t="s">
        <v>57</v>
      </c>
      <c r="S318" s="193">
        <v>108</v>
      </c>
      <c r="T318" s="194">
        <v>0</v>
      </c>
      <c r="U318" s="195">
        <v>138</v>
      </c>
      <c r="V318" s="196">
        <v>0</v>
      </c>
      <c r="W318" s="219">
        <v>0</v>
      </c>
      <c r="X318" s="220">
        <v>0</v>
      </c>
      <c r="Y318" s="199">
        <f t="shared" si="282"/>
        <v>246</v>
      </c>
      <c r="Z318" s="200">
        <f t="shared" si="283"/>
        <v>384</v>
      </c>
      <c r="AA318" s="193">
        <v>100</v>
      </c>
      <c r="AB318" s="194">
        <v>32</v>
      </c>
      <c r="AC318" s="195">
        <v>82</v>
      </c>
      <c r="AD318" s="201">
        <v>30</v>
      </c>
      <c r="AE318" s="221">
        <v>0</v>
      </c>
      <c r="AF318" s="220">
        <v>9</v>
      </c>
      <c r="AG318" s="199">
        <f t="shared" si="284"/>
        <v>253</v>
      </c>
      <c r="AH318" s="200">
        <f t="shared" si="285"/>
        <v>374</v>
      </c>
      <c r="AI318" s="203">
        <f t="shared" si="268"/>
        <v>499</v>
      </c>
      <c r="AJ318" s="204">
        <f t="shared" si="268"/>
        <v>758</v>
      </c>
      <c r="AK318" s="193">
        <v>0</v>
      </c>
      <c r="AL318" s="194">
        <v>0</v>
      </c>
      <c r="AM318" s="195">
        <v>38</v>
      </c>
      <c r="AN318" s="196">
        <v>0</v>
      </c>
      <c r="AO318" s="219">
        <v>0</v>
      </c>
      <c r="AP318" s="220">
        <v>0</v>
      </c>
      <c r="AQ318" s="205">
        <f t="shared" si="286"/>
        <v>38</v>
      </c>
      <c r="AR318" s="206">
        <f t="shared" si="287"/>
        <v>76</v>
      </c>
      <c r="AS318" s="193">
        <v>0</v>
      </c>
      <c r="AT318" s="194">
        <v>0</v>
      </c>
      <c r="AU318" s="195">
        <v>38</v>
      </c>
      <c r="AV318" s="196">
        <v>0</v>
      </c>
      <c r="AW318" s="219">
        <v>0</v>
      </c>
      <c r="AX318" s="220">
        <v>0</v>
      </c>
      <c r="AY318" s="205">
        <f t="shared" si="288"/>
        <v>38</v>
      </c>
      <c r="AZ318" s="206">
        <f t="shared" si="271"/>
        <v>76</v>
      </c>
      <c r="BA318" s="207">
        <f t="shared" si="272"/>
        <v>76</v>
      </c>
      <c r="BB318" s="204">
        <f t="shared" si="272"/>
        <v>152</v>
      </c>
      <c r="BC318" s="208">
        <f t="shared" si="273"/>
        <v>284</v>
      </c>
      <c r="BD318" s="209">
        <f t="shared" si="273"/>
        <v>460</v>
      </c>
      <c r="BE318" s="210">
        <f t="shared" si="274"/>
        <v>291</v>
      </c>
      <c r="BF318" s="211">
        <f t="shared" si="274"/>
        <v>450</v>
      </c>
      <c r="BG318" s="212">
        <f t="shared" si="275"/>
        <v>575</v>
      </c>
      <c r="BH318" s="213">
        <f t="shared" si="275"/>
        <v>910</v>
      </c>
    </row>
    <row r="319" spans="1:60" ht="21" x14ac:dyDescent="0.3">
      <c r="A319" s="214" t="s">
        <v>1204</v>
      </c>
      <c r="B319" s="306">
        <v>7</v>
      </c>
      <c r="C319" s="180">
        <v>11</v>
      </c>
      <c r="D319" s="215" t="s">
        <v>58</v>
      </c>
      <c r="E319" s="182" t="s">
        <v>1249</v>
      </c>
      <c r="F319" s="183" t="s">
        <v>1096</v>
      </c>
      <c r="G319" s="216" t="s">
        <v>1250</v>
      </c>
      <c r="H319" s="217" t="s">
        <v>1251</v>
      </c>
      <c r="I319" s="217" t="s">
        <v>1252</v>
      </c>
      <c r="J319" s="218">
        <v>45975.836805555555</v>
      </c>
      <c r="K319" s="223">
        <f t="shared" si="276"/>
        <v>0.63194444444525288</v>
      </c>
      <c r="L319" s="222">
        <v>0</v>
      </c>
      <c r="M319" s="189">
        <f t="shared" si="277"/>
        <v>0.63194444444525288</v>
      </c>
      <c r="N319" s="189">
        <f t="shared" si="278"/>
        <v>0.67708333333575865</v>
      </c>
      <c r="O319" s="190">
        <f t="shared" si="279"/>
        <v>43.252747252691925</v>
      </c>
      <c r="P319" s="190">
        <f t="shared" si="280"/>
        <v>43.252747252691925</v>
      </c>
      <c r="Q319" s="191">
        <f t="shared" si="281"/>
        <v>40.369230769086165</v>
      </c>
      <c r="R319" s="192" t="s">
        <v>57</v>
      </c>
      <c r="S319" s="193">
        <v>0</v>
      </c>
      <c r="T319" s="194">
        <v>100</v>
      </c>
      <c r="U319" s="195">
        <v>0</v>
      </c>
      <c r="V319" s="196">
        <v>107</v>
      </c>
      <c r="W319" s="219">
        <v>0</v>
      </c>
      <c r="X319" s="220">
        <v>0</v>
      </c>
      <c r="Y319" s="199">
        <f t="shared" si="282"/>
        <v>207</v>
      </c>
      <c r="Z319" s="200">
        <f t="shared" si="283"/>
        <v>314</v>
      </c>
      <c r="AA319" s="193">
        <v>145</v>
      </c>
      <c r="AB319" s="194">
        <v>5</v>
      </c>
      <c r="AC319" s="195">
        <v>209</v>
      </c>
      <c r="AD319" s="201">
        <v>88</v>
      </c>
      <c r="AE319" s="221">
        <v>0</v>
      </c>
      <c r="AF319" s="220">
        <v>2</v>
      </c>
      <c r="AG319" s="199">
        <f t="shared" si="284"/>
        <v>449</v>
      </c>
      <c r="AH319" s="200">
        <f t="shared" si="285"/>
        <v>748</v>
      </c>
      <c r="AI319" s="203">
        <f t="shared" si="268"/>
        <v>656</v>
      </c>
      <c r="AJ319" s="204">
        <f t="shared" si="268"/>
        <v>1062</v>
      </c>
      <c r="AK319" s="193">
        <v>0</v>
      </c>
      <c r="AL319" s="194">
        <v>0</v>
      </c>
      <c r="AM319" s="195">
        <v>0</v>
      </c>
      <c r="AN319" s="196">
        <v>0</v>
      </c>
      <c r="AO319" s="219">
        <v>0</v>
      </c>
      <c r="AP319" s="220">
        <v>0</v>
      </c>
      <c r="AQ319" s="205">
        <f t="shared" si="286"/>
        <v>0</v>
      </c>
      <c r="AR319" s="206">
        <f t="shared" si="287"/>
        <v>0</v>
      </c>
      <c r="AS319" s="193">
        <v>0</v>
      </c>
      <c r="AT319" s="194">
        <v>0</v>
      </c>
      <c r="AU319" s="195">
        <v>0</v>
      </c>
      <c r="AV319" s="196">
        <v>0</v>
      </c>
      <c r="AW319" s="219">
        <v>0</v>
      </c>
      <c r="AX319" s="220">
        <v>0</v>
      </c>
      <c r="AY319" s="205">
        <f t="shared" si="288"/>
        <v>0</v>
      </c>
      <c r="AZ319" s="206">
        <f t="shared" si="271"/>
        <v>0</v>
      </c>
      <c r="BA319" s="207">
        <f t="shared" si="272"/>
        <v>0</v>
      </c>
      <c r="BB319" s="204">
        <f t="shared" si="272"/>
        <v>0</v>
      </c>
      <c r="BC319" s="208">
        <f t="shared" si="273"/>
        <v>207</v>
      </c>
      <c r="BD319" s="209">
        <f t="shared" si="273"/>
        <v>314</v>
      </c>
      <c r="BE319" s="210">
        <f t="shared" si="274"/>
        <v>449</v>
      </c>
      <c r="BF319" s="211">
        <f t="shared" si="274"/>
        <v>748</v>
      </c>
      <c r="BG319" s="212">
        <f t="shared" si="275"/>
        <v>656</v>
      </c>
      <c r="BH319" s="213">
        <f t="shared" si="275"/>
        <v>1062</v>
      </c>
    </row>
    <row r="320" spans="1:60" ht="21" x14ac:dyDescent="0.3">
      <c r="A320" s="214" t="s">
        <v>1204</v>
      </c>
      <c r="B320" s="306">
        <v>8</v>
      </c>
      <c r="C320" s="180">
        <v>12</v>
      </c>
      <c r="D320" s="215" t="s">
        <v>72</v>
      </c>
      <c r="E320" s="182" t="s">
        <v>1253</v>
      </c>
      <c r="F320" s="183" t="s">
        <v>1254</v>
      </c>
      <c r="G320" s="216" t="s">
        <v>1255</v>
      </c>
      <c r="H320" s="217" t="s">
        <v>1256</v>
      </c>
      <c r="I320" s="217" t="s">
        <v>1257</v>
      </c>
      <c r="J320" s="218">
        <v>45977.875</v>
      </c>
      <c r="K320" s="223">
        <f t="shared" si="276"/>
        <v>0.61875000000145519</v>
      </c>
      <c r="L320" s="222">
        <v>0</v>
      </c>
      <c r="M320" s="189">
        <f t="shared" si="277"/>
        <v>0.61875000000145519</v>
      </c>
      <c r="N320" s="189">
        <f t="shared" si="278"/>
        <v>0.67708333333575865</v>
      </c>
      <c r="O320" s="190">
        <f t="shared" si="279"/>
        <v>51.582491582370267</v>
      </c>
      <c r="P320" s="190">
        <f t="shared" si="280"/>
        <v>51.582491582370267</v>
      </c>
      <c r="Q320" s="191">
        <f t="shared" si="281"/>
        <v>47.138461538292688</v>
      </c>
      <c r="R320" s="192" t="s">
        <v>57</v>
      </c>
      <c r="S320" s="193">
        <v>69</v>
      </c>
      <c r="T320" s="194">
        <v>193</v>
      </c>
      <c r="U320" s="195">
        <v>48</v>
      </c>
      <c r="V320" s="196">
        <v>0</v>
      </c>
      <c r="W320" s="219">
        <v>0</v>
      </c>
      <c r="X320" s="220">
        <v>0</v>
      </c>
      <c r="Y320" s="199">
        <f t="shared" si="282"/>
        <v>310</v>
      </c>
      <c r="Z320" s="200">
        <f t="shared" si="283"/>
        <v>358</v>
      </c>
      <c r="AA320" s="193">
        <v>88</v>
      </c>
      <c r="AB320" s="194">
        <v>75</v>
      </c>
      <c r="AC320" s="195">
        <v>81</v>
      </c>
      <c r="AD320" s="201">
        <v>212</v>
      </c>
      <c r="AE320" s="221">
        <v>0</v>
      </c>
      <c r="AF320" s="220">
        <v>0</v>
      </c>
      <c r="AG320" s="199">
        <f t="shared" si="284"/>
        <v>456</v>
      </c>
      <c r="AH320" s="200">
        <f t="shared" si="285"/>
        <v>749</v>
      </c>
      <c r="AI320" s="203">
        <f t="shared" si="268"/>
        <v>766</v>
      </c>
      <c r="AJ320" s="204">
        <f t="shared" si="268"/>
        <v>1107</v>
      </c>
      <c r="AK320" s="193">
        <v>0</v>
      </c>
      <c r="AL320" s="194">
        <v>0</v>
      </c>
      <c r="AM320" s="195">
        <v>0</v>
      </c>
      <c r="AN320" s="196">
        <v>0</v>
      </c>
      <c r="AO320" s="219">
        <v>0</v>
      </c>
      <c r="AP320" s="220">
        <v>0</v>
      </c>
      <c r="AQ320" s="205">
        <f t="shared" si="286"/>
        <v>0</v>
      </c>
      <c r="AR320" s="206">
        <f t="shared" si="287"/>
        <v>0</v>
      </c>
      <c r="AS320" s="193">
        <v>0</v>
      </c>
      <c r="AT320" s="194">
        <v>0</v>
      </c>
      <c r="AU320" s="195">
        <v>0</v>
      </c>
      <c r="AV320" s="196">
        <v>0</v>
      </c>
      <c r="AW320" s="219">
        <v>0</v>
      </c>
      <c r="AX320" s="220">
        <v>0</v>
      </c>
      <c r="AY320" s="205">
        <f t="shared" si="288"/>
        <v>0</v>
      </c>
      <c r="AZ320" s="206">
        <f t="shared" si="271"/>
        <v>0</v>
      </c>
      <c r="BA320" s="207">
        <f t="shared" si="272"/>
        <v>0</v>
      </c>
      <c r="BB320" s="204">
        <f t="shared" si="272"/>
        <v>0</v>
      </c>
      <c r="BC320" s="208">
        <f t="shared" si="273"/>
        <v>310</v>
      </c>
      <c r="BD320" s="209">
        <f t="shared" si="273"/>
        <v>358</v>
      </c>
      <c r="BE320" s="210">
        <f t="shared" si="274"/>
        <v>456</v>
      </c>
      <c r="BF320" s="211">
        <f t="shared" si="274"/>
        <v>749</v>
      </c>
      <c r="BG320" s="212">
        <f t="shared" si="275"/>
        <v>766</v>
      </c>
      <c r="BH320" s="213">
        <f t="shared" si="275"/>
        <v>1107</v>
      </c>
    </row>
    <row r="321" spans="1:60" ht="21" x14ac:dyDescent="0.3">
      <c r="A321" s="214" t="s">
        <v>1204</v>
      </c>
      <c r="B321" s="306">
        <v>9</v>
      </c>
      <c r="C321" s="180">
        <v>13</v>
      </c>
      <c r="D321" s="215" t="s">
        <v>51</v>
      </c>
      <c r="E321" s="182" t="s">
        <v>1258</v>
      </c>
      <c r="F321" s="183" t="s">
        <v>1125</v>
      </c>
      <c r="G321" s="216" t="s">
        <v>1259</v>
      </c>
      <c r="H321" s="217" t="s">
        <v>1260</v>
      </c>
      <c r="I321" s="217" t="s">
        <v>1261</v>
      </c>
      <c r="J321" s="218">
        <v>45978.125</v>
      </c>
      <c r="K321" s="223">
        <f t="shared" si="276"/>
        <v>0.53194444444670808</v>
      </c>
      <c r="L321" s="222">
        <v>0</v>
      </c>
      <c r="M321" s="189">
        <f t="shared" si="277"/>
        <v>0.53194444444670808</v>
      </c>
      <c r="N321" s="189">
        <f t="shared" si="278"/>
        <v>0.63541666666424135</v>
      </c>
      <c r="O321" s="190">
        <f t="shared" si="279"/>
        <v>47.702349869248707</v>
      </c>
      <c r="P321" s="190">
        <f t="shared" si="280"/>
        <v>47.702349869248707</v>
      </c>
      <c r="Q321" s="191">
        <f t="shared" si="281"/>
        <v>39.934426229660623</v>
      </c>
      <c r="R321" s="192" t="s">
        <v>57</v>
      </c>
      <c r="S321" s="193">
        <v>132</v>
      </c>
      <c r="T321" s="194">
        <v>0</v>
      </c>
      <c r="U321" s="195">
        <v>172</v>
      </c>
      <c r="V321" s="196">
        <v>21</v>
      </c>
      <c r="W321" s="219">
        <v>0</v>
      </c>
      <c r="X321" s="220">
        <v>0</v>
      </c>
      <c r="Y321" s="199">
        <f t="shared" si="282"/>
        <v>325</v>
      </c>
      <c r="Z321" s="200">
        <f t="shared" si="283"/>
        <v>518</v>
      </c>
      <c r="AA321" s="193">
        <v>134</v>
      </c>
      <c r="AB321" s="194">
        <v>8</v>
      </c>
      <c r="AC321" s="195">
        <v>132</v>
      </c>
      <c r="AD321" s="201">
        <v>0</v>
      </c>
      <c r="AE321" s="221">
        <v>0</v>
      </c>
      <c r="AF321" s="220">
        <v>10</v>
      </c>
      <c r="AG321" s="199">
        <f t="shared" si="284"/>
        <v>284</v>
      </c>
      <c r="AH321" s="200">
        <f t="shared" si="285"/>
        <v>426</v>
      </c>
      <c r="AI321" s="203">
        <f t="shared" si="268"/>
        <v>609</v>
      </c>
      <c r="AJ321" s="204">
        <f t="shared" si="268"/>
        <v>944</v>
      </c>
      <c r="AK321" s="193">
        <v>0</v>
      </c>
      <c r="AL321" s="194">
        <v>0</v>
      </c>
      <c r="AM321" s="195">
        <v>0</v>
      </c>
      <c r="AN321" s="196">
        <v>0</v>
      </c>
      <c r="AO321" s="219">
        <v>0</v>
      </c>
      <c r="AP321" s="220">
        <v>0</v>
      </c>
      <c r="AQ321" s="205">
        <f t="shared" si="286"/>
        <v>0</v>
      </c>
      <c r="AR321" s="206">
        <f t="shared" si="287"/>
        <v>0</v>
      </c>
      <c r="AS321" s="193">
        <v>0</v>
      </c>
      <c r="AT321" s="194">
        <v>0</v>
      </c>
      <c r="AU321" s="195">
        <v>0</v>
      </c>
      <c r="AV321" s="196">
        <v>0</v>
      </c>
      <c r="AW321" s="219">
        <v>0</v>
      </c>
      <c r="AX321" s="220">
        <v>0</v>
      </c>
      <c r="AY321" s="205">
        <f t="shared" si="288"/>
        <v>0</v>
      </c>
      <c r="AZ321" s="206">
        <f t="shared" si="271"/>
        <v>0</v>
      </c>
      <c r="BA321" s="207">
        <f t="shared" si="272"/>
        <v>0</v>
      </c>
      <c r="BB321" s="204">
        <f t="shared" si="272"/>
        <v>0</v>
      </c>
      <c r="BC321" s="208">
        <f t="shared" si="273"/>
        <v>325</v>
      </c>
      <c r="BD321" s="209">
        <f t="shared" si="273"/>
        <v>518</v>
      </c>
      <c r="BE321" s="210">
        <f t="shared" si="274"/>
        <v>284</v>
      </c>
      <c r="BF321" s="211">
        <f t="shared" si="274"/>
        <v>426</v>
      </c>
      <c r="BG321" s="212">
        <f t="shared" si="275"/>
        <v>609</v>
      </c>
      <c r="BH321" s="213">
        <f t="shared" si="275"/>
        <v>944</v>
      </c>
    </row>
    <row r="322" spans="1:60" ht="21" x14ac:dyDescent="0.3">
      <c r="A322" s="214" t="s">
        <v>1204</v>
      </c>
      <c r="B322" s="306">
        <v>5</v>
      </c>
      <c r="C322" s="180">
        <v>14</v>
      </c>
      <c r="D322" s="215" t="s">
        <v>65</v>
      </c>
      <c r="E322" s="182" t="s">
        <v>1262</v>
      </c>
      <c r="F322" s="183" t="s">
        <v>1263</v>
      </c>
      <c r="G322" s="216" t="s">
        <v>1264</v>
      </c>
      <c r="H322" s="217" t="s">
        <v>1265</v>
      </c>
      <c r="I322" s="217" t="s">
        <v>1266</v>
      </c>
      <c r="J322" s="218">
        <v>45979.166666666664</v>
      </c>
      <c r="K322" s="223">
        <f t="shared" si="276"/>
        <v>0.47986111111094942</v>
      </c>
      <c r="L322" s="222">
        <v>0</v>
      </c>
      <c r="M322" s="189">
        <f t="shared" si="277"/>
        <v>0.47986111111094942</v>
      </c>
      <c r="N322" s="189">
        <f t="shared" si="278"/>
        <v>0.53819444444525288</v>
      </c>
      <c r="O322" s="190">
        <f t="shared" si="279"/>
        <v>53.227206946472343</v>
      </c>
      <c r="P322" s="190">
        <f t="shared" si="280"/>
        <v>53.227206946472343</v>
      </c>
      <c r="Q322" s="191">
        <f t="shared" si="281"/>
        <v>47.458064516057739</v>
      </c>
      <c r="R322" s="192" t="s">
        <v>71</v>
      </c>
      <c r="S322" s="193">
        <v>110</v>
      </c>
      <c r="T322" s="194">
        <v>2</v>
      </c>
      <c r="U322" s="195">
        <v>172</v>
      </c>
      <c r="V322" s="196">
        <v>26</v>
      </c>
      <c r="W322" s="219">
        <v>0</v>
      </c>
      <c r="X322" s="220">
        <v>2</v>
      </c>
      <c r="Y322" s="199">
        <f t="shared" si="282"/>
        <v>312</v>
      </c>
      <c r="Z322" s="200">
        <f t="shared" si="283"/>
        <v>512</v>
      </c>
      <c r="AA322" s="193">
        <v>95</v>
      </c>
      <c r="AB322" s="194">
        <v>21</v>
      </c>
      <c r="AC322" s="195">
        <v>141</v>
      </c>
      <c r="AD322" s="201">
        <v>40</v>
      </c>
      <c r="AE322" s="221">
        <v>0</v>
      </c>
      <c r="AF322" s="220">
        <v>4</v>
      </c>
      <c r="AG322" s="199">
        <f t="shared" si="284"/>
        <v>301</v>
      </c>
      <c r="AH322" s="200">
        <f t="shared" si="285"/>
        <v>486</v>
      </c>
      <c r="AI322" s="203">
        <f t="shared" si="268"/>
        <v>613</v>
      </c>
      <c r="AJ322" s="204">
        <f t="shared" si="268"/>
        <v>998</v>
      </c>
      <c r="AK322" s="193">
        <v>0</v>
      </c>
      <c r="AL322" s="194">
        <v>0</v>
      </c>
      <c r="AM322" s="195">
        <v>0</v>
      </c>
      <c r="AN322" s="196">
        <v>0</v>
      </c>
      <c r="AO322" s="219">
        <v>0</v>
      </c>
      <c r="AP322" s="220">
        <v>0</v>
      </c>
      <c r="AQ322" s="205">
        <f t="shared" si="286"/>
        <v>0</v>
      </c>
      <c r="AR322" s="206">
        <f t="shared" si="287"/>
        <v>0</v>
      </c>
      <c r="AS322" s="193">
        <v>0</v>
      </c>
      <c r="AT322" s="194">
        <v>0</v>
      </c>
      <c r="AU322" s="195">
        <v>0</v>
      </c>
      <c r="AV322" s="196">
        <v>0</v>
      </c>
      <c r="AW322" s="219">
        <v>0</v>
      </c>
      <c r="AX322" s="220">
        <v>0</v>
      </c>
      <c r="AY322" s="205">
        <f t="shared" si="288"/>
        <v>0</v>
      </c>
      <c r="AZ322" s="206">
        <f t="shared" si="271"/>
        <v>0</v>
      </c>
      <c r="BA322" s="207">
        <f t="shared" si="272"/>
        <v>0</v>
      </c>
      <c r="BB322" s="204">
        <f t="shared" si="272"/>
        <v>0</v>
      </c>
      <c r="BC322" s="208">
        <f t="shared" si="273"/>
        <v>312</v>
      </c>
      <c r="BD322" s="209">
        <f t="shared" si="273"/>
        <v>512</v>
      </c>
      <c r="BE322" s="210">
        <f t="shared" si="274"/>
        <v>301</v>
      </c>
      <c r="BF322" s="211">
        <f t="shared" si="274"/>
        <v>486</v>
      </c>
      <c r="BG322" s="212">
        <f t="shared" si="275"/>
        <v>613</v>
      </c>
      <c r="BH322" s="213">
        <f t="shared" si="275"/>
        <v>998</v>
      </c>
    </row>
    <row r="323" spans="1:60" ht="21" x14ac:dyDescent="0.3">
      <c r="A323" s="214" t="s">
        <v>1204</v>
      </c>
      <c r="B323" s="306">
        <v>6</v>
      </c>
      <c r="C323" s="180">
        <v>15</v>
      </c>
      <c r="D323" s="215" t="s">
        <v>79</v>
      </c>
      <c r="E323" s="182" t="s">
        <v>1267</v>
      </c>
      <c r="F323" s="183" t="s">
        <v>1179</v>
      </c>
      <c r="G323" s="216" t="s">
        <v>1268</v>
      </c>
      <c r="H323" s="217" t="s">
        <v>1269</v>
      </c>
      <c r="I323" s="217" t="s">
        <v>1270</v>
      </c>
      <c r="J323" s="218">
        <v>45982.145833333336</v>
      </c>
      <c r="K323" s="223">
        <f t="shared" si="276"/>
        <v>0.54027777777810115</v>
      </c>
      <c r="L323" s="222">
        <v>0</v>
      </c>
      <c r="M323" s="189">
        <f t="shared" si="277"/>
        <v>0.54027777777810115</v>
      </c>
      <c r="N323" s="189">
        <f t="shared" si="278"/>
        <v>0.59722222222626442</v>
      </c>
      <c r="O323" s="190">
        <f t="shared" si="279"/>
        <v>47.506426735190075</v>
      </c>
      <c r="P323" s="190">
        <f t="shared" si="280"/>
        <v>47.506426735190075</v>
      </c>
      <c r="Q323" s="191">
        <f t="shared" si="281"/>
        <v>42.976744185755628</v>
      </c>
      <c r="R323" s="192" t="s">
        <v>71</v>
      </c>
      <c r="S323" s="193">
        <v>124</v>
      </c>
      <c r="T323" s="194">
        <v>1</v>
      </c>
      <c r="U323" s="195">
        <v>164</v>
      </c>
      <c r="V323" s="196">
        <v>21</v>
      </c>
      <c r="W323" s="219">
        <v>0</v>
      </c>
      <c r="X323" s="220">
        <v>0</v>
      </c>
      <c r="Y323" s="199">
        <f t="shared" si="282"/>
        <v>310</v>
      </c>
      <c r="Z323" s="200">
        <f t="shared" si="283"/>
        <v>495</v>
      </c>
      <c r="AA323" s="193">
        <v>100</v>
      </c>
      <c r="AB323" s="194">
        <v>20</v>
      </c>
      <c r="AC323" s="195">
        <v>138</v>
      </c>
      <c r="AD323" s="201">
        <v>43</v>
      </c>
      <c r="AE323" s="221">
        <v>0</v>
      </c>
      <c r="AF323" s="220">
        <v>5</v>
      </c>
      <c r="AG323" s="199">
        <f t="shared" si="284"/>
        <v>306</v>
      </c>
      <c r="AH323" s="200">
        <f t="shared" si="285"/>
        <v>492</v>
      </c>
      <c r="AI323" s="203">
        <f t="shared" si="268"/>
        <v>616</v>
      </c>
      <c r="AJ323" s="204">
        <f t="shared" si="268"/>
        <v>987</v>
      </c>
      <c r="AK323" s="193">
        <v>0</v>
      </c>
      <c r="AL323" s="194">
        <v>0</v>
      </c>
      <c r="AM323" s="195">
        <v>0</v>
      </c>
      <c r="AN323" s="196">
        <v>0</v>
      </c>
      <c r="AO323" s="219">
        <v>0</v>
      </c>
      <c r="AP323" s="220">
        <v>0</v>
      </c>
      <c r="AQ323" s="205">
        <f t="shared" si="286"/>
        <v>0</v>
      </c>
      <c r="AR323" s="206">
        <f t="shared" si="287"/>
        <v>0</v>
      </c>
      <c r="AS323" s="193">
        <v>0</v>
      </c>
      <c r="AT323" s="194">
        <v>0</v>
      </c>
      <c r="AU323" s="195">
        <v>0</v>
      </c>
      <c r="AV323" s="196">
        <v>0</v>
      </c>
      <c r="AW323" s="219">
        <v>0</v>
      </c>
      <c r="AX323" s="220">
        <v>0</v>
      </c>
      <c r="AY323" s="205">
        <f t="shared" si="288"/>
        <v>0</v>
      </c>
      <c r="AZ323" s="206">
        <f t="shared" si="271"/>
        <v>0</v>
      </c>
      <c r="BA323" s="207">
        <f t="shared" si="272"/>
        <v>0</v>
      </c>
      <c r="BB323" s="204">
        <f t="shared" si="272"/>
        <v>0</v>
      </c>
      <c r="BC323" s="208">
        <f t="shared" si="273"/>
        <v>310</v>
      </c>
      <c r="BD323" s="209">
        <f t="shared" si="273"/>
        <v>495</v>
      </c>
      <c r="BE323" s="210">
        <f t="shared" si="274"/>
        <v>306</v>
      </c>
      <c r="BF323" s="211">
        <f t="shared" si="274"/>
        <v>492</v>
      </c>
      <c r="BG323" s="212">
        <f t="shared" si="275"/>
        <v>616</v>
      </c>
      <c r="BH323" s="213">
        <f t="shared" si="275"/>
        <v>987</v>
      </c>
    </row>
    <row r="324" spans="1:60" ht="21" x14ac:dyDescent="0.3">
      <c r="A324" s="214" t="s">
        <v>1204</v>
      </c>
      <c r="B324" s="306">
        <v>10</v>
      </c>
      <c r="C324" s="180">
        <v>16</v>
      </c>
      <c r="D324" s="215" t="s">
        <v>655</v>
      </c>
      <c r="E324" s="182" t="s">
        <v>1271</v>
      </c>
      <c r="F324" s="183" t="s">
        <v>1254</v>
      </c>
      <c r="G324" s="216" t="s">
        <v>1272</v>
      </c>
      <c r="H324" s="217" t="s">
        <v>1273</v>
      </c>
      <c r="I324" s="217" t="s">
        <v>1274</v>
      </c>
      <c r="J324" s="218">
        <v>45984.270833333336</v>
      </c>
      <c r="K324" s="223">
        <f t="shared" si="276"/>
        <v>0.37013888889487134</v>
      </c>
      <c r="L324" s="222">
        <v>0</v>
      </c>
      <c r="M324" s="189">
        <f t="shared" si="277"/>
        <v>0.37013888889487134</v>
      </c>
      <c r="N324" s="189">
        <f t="shared" si="278"/>
        <v>0.6875</v>
      </c>
      <c r="O324" s="190">
        <f t="shared" si="279"/>
        <v>34.784240149531598</v>
      </c>
      <c r="P324" s="190">
        <f t="shared" si="280"/>
        <v>34.784240149531598</v>
      </c>
      <c r="Q324" s="191">
        <f t="shared" si="281"/>
        <v>18.727272727272727</v>
      </c>
      <c r="R324" s="192" t="s">
        <v>57</v>
      </c>
      <c r="S324" s="193">
        <v>94</v>
      </c>
      <c r="T324" s="194">
        <v>0</v>
      </c>
      <c r="U324" s="195">
        <v>58</v>
      </c>
      <c r="V324" s="196">
        <v>0</v>
      </c>
      <c r="W324" s="219">
        <v>0</v>
      </c>
      <c r="X324" s="220">
        <v>0</v>
      </c>
      <c r="Y324" s="199">
        <f t="shared" si="282"/>
        <v>152</v>
      </c>
      <c r="Z324" s="200">
        <f t="shared" si="283"/>
        <v>210</v>
      </c>
      <c r="AA324" s="193">
        <v>103</v>
      </c>
      <c r="AB324" s="194">
        <v>0</v>
      </c>
      <c r="AC324" s="195">
        <v>51</v>
      </c>
      <c r="AD324" s="201">
        <v>0</v>
      </c>
      <c r="AE324" s="221">
        <v>0</v>
      </c>
      <c r="AF324" s="220">
        <v>3</v>
      </c>
      <c r="AG324" s="199">
        <f t="shared" si="284"/>
        <v>157</v>
      </c>
      <c r="AH324" s="200">
        <f t="shared" si="285"/>
        <v>211</v>
      </c>
      <c r="AI324" s="203">
        <f t="shared" ref="AI324:AJ333" si="289">Y324+AG324</f>
        <v>309</v>
      </c>
      <c r="AJ324" s="204">
        <f t="shared" si="289"/>
        <v>421</v>
      </c>
      <c r="AK324" s="193">
        <v>0</v>
      </c>
      <c r="AL324" s="194">
        <v>0</v>
      </c>
      <c r="AM324" s="195">
        <v>0</v>
      </c>
      <c r="AN324" s="196">
        <v>0</v>
      </c>
      <c r="AO324" s="219">
        <v>0</v>
      </c>
      <c r="AP324" s="220">
        <v>0</v>
      </c>
      <c r="AQ324" s="205">
        <f t="shared" si="286"/>
        <v>0</v>
      </c>
      <c r="AR324" s="206">
        <f t="shared" si="287"/>
        <v>0</v>
      </c>
      <c r="AS324" s="193">
        <v>0</v>
      </c>
      <c r="AT324" s="194">
        <v>0</v>
      </c>
      <c r="AU324" s="195">
        <v>0</v>
      </c>
      <c r="AV324" s="196">
        <v>0</v>
      </c>
      <c r="AW324" s="219">
        <v>0</v>
      </c>
      <c r="AX324" s="220">
        <v>0</v>
      </c>
      <c r="AY324" s="205">
        <f t="shared" si="288"/>
        <v>0</v>
      </c>
      <c r="AZ324" s="206">
        <f t="shared" si="271"/>
        <v>0</v>
      </c>
      <c r="BA324" s="207">
        <f t="shared" ref="BA324:BB333" si="290">AQ324+AY324</f>
        <v>0</v>
      </c>
      <c r="BB324" s="204">
        <f t="shared" si="290"/>
        <v>0</v>
      </c>
      <c r="BC324" s="208">
        <f t="shared" ref="BC324:BD333" si="291">Y324+AQ324</f>
        <v>152</v>
      </c>
      <c r="BD324" s="209">
        <f t="shared" si="291"/>
        <v>210</v>
      </c>
      <c r="BE324" s="210">
        <f t="shared" ref="BE324:BF333" si="292">AG324+AY324</f>
        <v>157</v>
      </c>
      <c r="BF324" s="211">
        <f t="shared" si="292"/>
        <v>211</v>
      </c>
      <c r="BG324" s="212">
        <f t="shared" ref="BG324:BH333" si="293">BC324+BE324</f>
        <v>309</v>
      </c>
      <c r="BH324" s="213">
        <f t="shared" si="293"/>
        <v>421</v>
      </c>
    </row>
    <row r="325" spans="1:60" ht="21" x14ac:dyDescent="0.3">
      <c r="A325" s="214" t="s">
        <v>1204</v>
      </c>
      <c r="B325" s="306">
        <v>11</v>
      </c>
      <c r="C325" s="180">
        <v>17</v>
      </c>
      <c r="D325" s="215" t="s">
        <v>58</v>
      </c>
      <c r="E325" s="182" t="s">
        <v>1275</v>
      </c>
      <c r="F325" s="183" t="s">
        <v>1125</v>
      </c>
      <c r="G325" s="216" t="s">
        <v>1276</v>
      </c>
      <c r="H325" s="217" t="s">
        <v>1277</v>
      </c>
      <c r="I325" s="217" t="s">
        <v>1278</v>
      </c>
      <c r="J325" s="218">
        <v>45985.875</v>
      </c>
      <c r="K325" s="223">
        <f t="shared" si="276"/>
        <v>0.78749999999854481</v>
      </c>
      <c r="L325" s="222">
        <v>0</v>
      </c>
      <c r="M325" s="189">
        <f t="shared" si="277"/>
        <v>0.78749999999854481</v>
      </c>
      <c r="N325" s="189">
        <f t="shared" si="278"/>
        <v>1.0173611111094942</v>
      </c>
      <c r="O325" s="190">
        <f t="shared" si="279"/>
        <v>50.264550264643141</v>
      </c>
      <c r="P325" s="190">
        <f t="shared" si="280"/>
        <v>50.264550264643141</v>
      </c>
      <c r="Q325" s="191">
        <f t="shared" si="281"/>
        <v>38.907849829413372</v>
      </c>
      <c r="R325" s="192" t="s">
        <v>57</v>
      </c>
      <c r="S325" s="193">
        <v>158</v>
      </c>
      <c r="T325" s="194">
        <v>0</v>
      </c>
      <c r="U325" s="195">
        <v>205</v>
      </c>
      <c r="V325" s="196">
        <v>171</v>
      </c>
      <c r="W325" s="219">
        <v>0</v>
      </c>
      <c r="X325" s="220">
        <v>2</v>
      </c>
      <c r="Y325" s="199">
        <f t="shared" si="282"/>
        <v>536</v>
      </c>
      <c r="Z325" s="200">
        <f t="shared" si="283"/>
        <v>914</v>
      </c>
      <c r="AA325" s="193">
        <v>170</v>
      </c>
      <c r="AB325" s="194">
        <v>0</v>
      </c>
      <c r="AC325" s="195">
        <v>185</v>
      </c>
      <c r="AD325" s="201">
        <v>40</v>
      </c>
      <c r="AE325" s="221">
        <v>0</v>
      </c>
      <c r="AF325" s="220">
        <v>19</v>
      </c>
      <c r="AG325" s="199">
        <f t="shared" si="284"/>
        <v>414</v>
      </c>
      <c r="AH325" s="200">
        <f t="shared" si="285"/>
        <v>658</v>
      </c>
      <c r="AI325" s="203">
        <f t="shared" si="289"/>
        <v>950</v>
      </c>
      <c r="AJ325" s="204">
        <f t="shared" si="289"/>
        <v>1572</v>
      </c>
      <c r="AK325" s="193">
        <v>0</v>
      </c>
      <c r="AL325" s="194">
        <v>0</v>
      </c>
      <c r="AM325" s="195">
        <v>0</v>
      </c>
      <c r="AN325" s="196">
        <v>0</v>
      </c>
      <c r="AO325" s="219">
        <v>0</v>
      </c>
      <c r="AP325" s="220">
        <v>0</v>
      </c>
      <c r="AQ325" s="205">
        <f t="shared" si="286"/>
        <v>0</v>
      </c>
      <c r="AR325" s="206">
        <f t="shared" si="287"/>
        <v>0</v>
      </c>
      <c r="AS325" s="193">
        <v>0</v>
      </c>
      <c r="AT325" s="194">
        <v>0</v>
      </c>
      <c r="AU325" s="195">
        <v>0</v>
      </c>
      <c r="AV325" s="196">
        <v>0</v>
      </c>
      <c r="AW325" s="219">
        <v>0</v>
      </c>
      <c r="AX325" s="220">
        <v>0</v>
      </c>
      <c r="AY325" s="205">
        <f t="shared" si="288"/>
        <v>0</v>
      </c>
      <c r="AZ325" s="206">
        <f t="shared" si="271"/>
        <v>0</v>
      </c>
      <c r="BA325" s="207">
        <f t="shared" si="290"/>
        <v>0</v>
      </c>
      <c r="BB325" s="204">
        <f t="shared" si="290"/>
        <v>0</v>
      </c>
      <c r="BC325" s="208">
        <f t="shared" si="291"/>
        <v>536</v>
      </c>
      <c r="BD325" s="209">
        <f t="shared" si="291"/>
        <v>914</v>
      </c>
      <c r="BE325" s="210">
        <f t="shared" si="292"/>
        <v>414</v>
      </c>
      <c r="BF325" s="211">
        <f t="shared" si="292"/>
        <v>658</v>
      </c>
      <c r="BG325" s="212">
        <f t="shared" si="293"/>
        <v>950</v>
      </c>
      <c r="BH325" s="213">
        <f t="shared" si="293"/>
        <v>1572</v>
      </c>
    </row>
    <row r="326" spans="1:60" ht="21" x14ac:dyDescent="0.3">
      <c r="A326" s="214" t="s">
        <v>1204</v>
      </c>
      <c r="B326" s="306">
        <v>12</v>
      </c>
      <c r="C326" s="180">
        <v>18</v>
      </c>
      <c r="D326" s="215" t="s">
        <v>231</v>
      </c>
      <c r="E326" s="182" t="s">
        <v>1279</v>
      </c>
      <c r="F326" s="183" t="s">
        <v>1096</v>
      </c>
      <c r="G326" s="216" t="s">
        <v>1280</v>
      </c>
      <c r="H326" s="217" t="s">
        <v>1281</v>
      </c>
      <c r="I326" s="217" t="s">
        <v>1282</v>
      </c>
      <c r="J326" s="218">
        <v>45985.875</v>
      </c>
      <c r="K326" s="223">
        <f t="shared" si="276"/>
        <v>0.68125000000145519</v>
      </c>
      <c r="L326" s="222">
        <v>0.14236111110949423</v>
      </c>
      <c r="M326" s="189">
        <f t="shared" si="277"/>
        <v>0.53888888889196096</v>
      </c>
      <c r="N326" s="189">
        <f t="shared" si="278"/>
        <v>0.72916666666424135</v>
      </c>
      <c r="O326" s="190">
        <f t="shared" si="279"/>
        <v>34.407216494649212</v>
      </c>
      <c r="P326" s="190">
        <f t="shared" si="280"/>
        <v>27.217125382204859</v>
      </c>
      <c r="Q326" s="191">
        <f t="shared" si="281"/>
        <v>25.42857142865601</v>
      </c>
      <c r="R326" s="192" t="s">
        <v>57</v>
      </c>
      <c r="S326" s="193">
        <v>78</v>
      </c>
      <c r="T326" s="194">
        <v>32</v>
      </c>
      <c r="U326" s="195">
        <v>67</v>
      </c>
      <c r="V326" s="196">
        <v>0</v>
      </c>
      <c r="W326" s="219">
        <v>0</v>
      </c>
      <c r="X326" s="220">
        <v>0</v>
      </c>
      <c r="Y326" s="199">
        <f t="shared" si="282"/>
        <v>177</v>
      </c>
      <c r="Z326" s="200">
        <f t="shared" si="283"/>
        <v>244</v>
      </c>
      <c r="AA326" s="193">
        <v>135</v>
      </c>
      <c r="AB326" s="194">
        <v>0</v>
      </c>
      <c r="AC326" s="195">
        <v>38</v>
      </c>
      <c r="AD326" s="201">
        <v>0</v>
      </c>
      <c r="AE326" s="221">
        <v>0</v>
      </c>
      <c r="AF326" s="220">
        <v>3</v>
      </c>
      <c r="AG326" s="199">
        <f t="shared" si="284"/>
        <v>176</v>
      </c>
      <c r="AH326" s="200">
        <f t="shared" si="285"/>
        <v>217</v>
      </c>
      <c r="AI326" s="203">
        <f t="shared" si="289"/>
        <v>353</v>
      </c>
      <c r="AJ326" s="204">
        <f t="shared" si="289"/>
        <v>461</v>
      </c>
      <c r="AK326" s="193">
        <v>1</v>
      </c>
      <c r="AL326" s="194">
        <v>0</v>
      </c>
      <c r="AM326" s="195">
        <v>45</v>
      </c>
      <c r="AN326" s="196">
        <v>0</v>
      </c>
      <c r="AO326" s="219">
        <v>0</v>
      </c>
      <c r="AP326" s="220">
        <v>0</v>
      </c>
      <c r="AQ326" s="205">
        <f t="shared" si="286"/>
        <v>46</v>
      </c>
      <c r="AR326" s="206">
        <f t="shared" si="287"/>
        <v>91</v>
      </c>
      <c r="AS326" s="193">
        <v>1</v>
      </c>
      <c r="AT326" s="194">
        <v>0</v>
      </c>
      <c r="AU326" s="195">
        <v>45</v>
      </c>
      <c r="AV326" s="196">
        <v>0</v>
      </c>
      <c r="AW326" s="219">
        <v>0</v>
      </c>
      <c r="AX326" s="220">
        <v>0</v>
      </c>
      <c r="AY326" s="205">
        <f t="shared" si="288"/>
        <v>46</v>
      </c>
      <c r="AZ326" s="206">
        <f t="shared" si="271"/>
        <v>91</v>
      </c>
      <c r="BA326" s="207">
        <f t="shared" si="290"/>
        <v>92</v>
      </c>
      <c r="BB326" s="204">
        <f t="shared" si="290"/>
        <v>182</v>
      </c>
      <c r="BC326" s="208">
        <f t="shared" si="291"/>
        <v>223</v>
      </c>
      <c r="BD326" s="209">
        <f t="shared" si="291"/>
        <v>335</v>
      </c>
      <c r="BE326" s="210">
        <f t="shared" si="292"/>
        <v>222</v>
      </c>
      <c r="BF326" s="211">
        <f t="shared" si="292"/>
        <v>308</v>
      </c>
      <c r="BG326" s="212">
        <f t="shared" si="293"/>
        <v>445</v>
      </c>
      <c r="BH326" s="213">
        <f t="shared" si="293"/>
        <v>643</v>
      </c>
    </row>
    <row r="327" spans="1:60" ht="21" x14ac:dyDescent="0.3">
      <c r="A327" s="214" t="s">
        <v>1204</v>
      </c>
      <c r="B327" s="306">
        <v>13</v>
      </c>
      <c r="C327" s="180">
        <v>19</v>
      </c>
      <c r="D327" s="215" t="s">
        <v>51</v>
      </c>
      <c r="E327" s="182" t="s">
        <v>1283</v>
      </c>
      <c r="F327" s="183" t="s">
        <v>1284</v>
      </c>
      <c r="G327" s="216" t="s">
        <v>1285</v>
      </c>
      <c r="H327" s="217" t="s">
        <v>1286</v>
      </c>
      <c r="I327" s="217" t="s">
        <v>1287</v>
      </c>
      <c r="J327" s="218">
        <v>45986.875</v>
      </c>
      <c r="K327" s="223">
        <f t="shared" si="276"/>
        <v>0.58472222222189885</v>
      </c>
      <c r="L327" s="222">
        <v>0</v>
      </c>
      <c r="M327" s="189">
        <f t="shared" si="277"/>
        <v>0.58472222222189885</v>
      </c>
      <c r="N327" s="189">
        <f t="shared" si="278"/>
        <v>0.75</v>
      </c>
      <c r="O327" s="190">
        <f t="shared" si="279"/>
        <v>41.187648456079785</v>
      </c>
      <c r="P327" s="190">
        <f t="shared" si="280"/>
        <v>41.187648456079785</v>
      </c>
      <c r="Q327" s="191">
        <f t="shared" si="281"/>
        <v>32.111111111111107</v>
      </c>
      <c r="R327" s="192" t="s">
        <v>57</v>
      </c>
      <c r="S327" s="193">
        <v>136</v>
      </c>
      <c r="T327" s="194">
        <v>0</v>
      </c>
      <c r="U327" s="195">
        <v>166</v>
      </c>
      <c r="V327" s="196">
        <v>4</v>
      </c>
      <c r="W327" s="219">
        <v>0</v>
      </c>
      <c r="X327" s="220">
        <v>1</v>
      </c>
      <c r="Y327" s="199">
        <f t="shared" si="282"/>
        <v>307</v>
      </c>
      <c r="Z327" s="200">
        <f t="shared" si="283"/>
        <v>478</v>
      </c>
      <c r="AA327" s="193">
        <v>11</v>
      </c>
      <c r="AB327" s="194">
        <v>20</v>
      </c>
      <c r="AC327" s="195">
        <v>2</v>
      </c>
      <c r="AD327" s="201">
        <v>238</v>
      </c>
      <c r="AE327" s="221">
        <v>0</v>
      </c>
      <c r="AF327" s="220">
        <v>0</v>
      </c>
      <c r="AG327" s="199">
        <f t="shared" si="284"/>
        <v>271</v>
      </c>
      <c r="AH327" s="200">
        <f t="shared" si="285"/>
        <v>511</v>
      </c>
      <c r="AI327" s="203">
        <f t="shared" si="289"/>
        <v>578</v>
      </c>
      <c r="AJ327" s="204">
        <f t="shared" si="289"/>
        <v>989</v>
      </c>
      <c r="AK327" s="193">
        <v>0</v>
      </c>
      <c r="AL327" s="194">
        <v>0</v>
      </c>
      <c r="AM327" s="195">
        <v>0</v>
      </c>
      <c r="AN327" s="196">
        <v>0</v>
      </c>
      <c r="AO327" s="219">
        <v>0</v>
      </c>
      <c r="AP327" s="220">
        <v>0</v>
      </c>
      <c r="AQ327" s="205">
        <f t="shared" si="286"/>
        <v>0</v>
      </c>
      <c r="AR327" s="206">
        <f t="shared" si="287"/>
        <v>0</v>
      </c>
      <c r="AS327" s="193">
        <v>0</v>
      </c>
      <c r="AT327" s="194">
        <v>0</v>
      </c>
      <c r="AU327" s="195">
        <v>0</v>
      </c>
      <c r="AV327" s="196">
        <v>0</v>
      </c>
      <c r="AW327" s="219">
        <v>0</v>
      </c>
      <c r="AX327" s="220">
        <v>0</v>
      </c>
      <c r="AY327" s="205">
        <f t="shared" si="288"/>
        <v>0</v>
      </c>
      <c r="AZ327" s="206">
        <f t="shared" si="271"/>
        <v>0</v>
      </c>
      <c r="BA327" s="207">
        <f t="shared" si="290"/>
        <v>0</v>
      </c>
      <c r="BB327" s="204">
        <f t="shared" si="290"/>
        <v>0</v>
      </c>
      <c r="BC327" s="208">
        <f t="shared" si="291"/>
        <v>307</v>
      </c>
      <c r="BD327" s="209">
        <f t="shared" si="291"/>
        <v>478</v>
      </c>
      <c r="BE327" s="210">
        <f t="shared" si="292"/>
        <v>271</v>
      </c>
      <c r="BF327" s="211">
        <f t="shared" si="292"/>
        <v>511</v>
      </c>
      <c r="BG327" s="212">
        <f t="shared" si="293"/>
        <v>578</v>
      </c>
      <c r="BH327" s="213">
        <f t="shared" si="293"/>
        <v>989</v>
      </c>
    </row>
    <row r="328" spans="1:60" ht="21" x14ac:dyDescent="0.3">
      <c r="A328" s="214" t="s">
        <v>1204</v>
      </c>
      <c r="B328" s="306">
        <v>7</v>
      </c>
      <c r="C328" s="180">
        <v>20</v>
      </c>
      <c r="D328" s="215" t="s">
        <v>65</v>
      </c>
      <c r="E328" s="182" t="s">
        <v>1288</v>
      </c>
      <c r="F328" s="183" t="s">
        <v>1289</v>
      </c>
      <c r="G328" s="216" t="s">
        <v>1290</v>
      </c>
      <c r="H328" s="217" t="s">
        <v>1291</v>
      </c>
      <c r="I328" s="217" t="s">
        <v>1292</v>
      </c>
      <c r="J328" s="218">
        <v>45987.8125</v>
      </c>
      <c r="K328" s="223">
        <f t="shared" si="276"/>
        <v>0.45972222222189885</v>
      </c>
      <c r="L328" s="222">
        <v>0</v>
      </c>
      <c r="M328" s="189">
        <f t="shared" si="277"/>
        <v>0.45972222222189885</v>
      </c>
      <c r="N328" s="189">
        <f t="shared" si="278"/>
        <v>0.48263888889050577</v>
      </c>
      <c r="O328" s="190">
        <f t="shared" si="279"/>
        <v>56.555891238710473</v>
      </c>
      <c r="P328" s="190">
        <f t="shared" si="280"/>
        <v>56.555891238710473</v>
      </c>
      <c r="Q328" s="191">
        <f t="shared" si="281"/>
        <v>53.87050359694183</v>
      </c>
      <c r="R328" s="192" t="s">
        <v>71</v>
      </c>
      <c r="S328" s="193">
        <v>120</v>
      </c>
      <c r="T328" s="194">
        <v>2</v>
      </c>
      <c r="U328" s="195">
        <v>173</v>
      </c>
      <c r="V328" s="196">
        <v>25</v>
      </c>
      <c r="W328" s="219">
        <v>0</v>
      </c>
      <c r="X328" s="220">
        <v>1</v>
      </c>
      <c r="Y328" s="199">
        <f t="shared" si="282"/>
        <v>321</v>
      </c>
      <c r="Z328" s="200">
        <f t="shared" si="283"/>
        <v>520</v>
      </c>
      <c r="AA328" s="193">
        <v>100</v>
      </c>
      <c r="AB328" s="194">
        <v>20</v>
      </c>
      <c r="AC328" s="195">
        <v>139</v>
      </c>
      <c r="AD328" s="201">
        <v>40</v>
      </c>
      <c r="AE328" s="221">
        <v>0</v>
      </c>
      <c r="AF328" s="220">
        <v>4</v>
      </c>
      <c r="AG328" s="199">
        <f t="shared" si="284"/>
        <v>303</v>
      </c>
      <c r="AH328" s="200">
        <f t="shared" si="285"/>
        <v>486</v>
      </c>
      <c r="AI328" s="203">
        <f t="shared" si="289"/>
        <v>624</v>
      </c>
      <c r="AJ328" s="204">
        <f t="shared" si="289"/>
        <v>1006</v>
      </c>
      <c r="AK328" s="193">
        <v>0</v>
      </c>
      <c r="AL328" s="194">
        <v>0</v>
      </c>
      <c r="AM328" s="195">
        <v>0</v>
      </c>
      <c r="AN328" s="196">
        <v>0</v>
      </c>
      <c r="AO328" s="219">
        <v>0</v>
      </c>
      <c r="AP328" s="220">
        <v>0</v>
      </c>
      <c r="AQ328" s="205">
        <f t="shared" si="286"/>
        <v>0</v>
      </c>
      <c r="AR328" s="206">
        <f t="shared" si="287"/>
        <v>0</v>
      </c>
      <c r="AS328" s="193">
        <v>0</v>
      </c>
      <c r="AT328" s="194">
        <v>0</v>
      </c>
      <c r="AU328" s="195">
        <v>0</v>
      </c>
      <c r="AV328" s="196">
        <v>0</v>
      </c>
      <c r="AW328" s="219">
        <v>0</v>
      </c>
      <c r="AX328" s="220">
        <v>0</v>
      </c>
      <c r="AY328" s="205">
        <f t="shared" si="288"/>
        <v>0</v>
      </c>
      <c r="AZ328" s="206">
        <f t="shared" si="271"/>
        <v>0</v>
      </c>
      <c r="BA328" s="207">
        <f t="shared" si="290"/>
        <v>0</v>
      </c>
      <c r="BB328" s="204">
        <f t="shared" si="290"/>
        <v>0</v>
      </c>
      <c r="BC328" s="208">
        <f t="shared" si="291"/>
        <v>321</v>
      </c>
      <c r="BD328" s="209">
        <f t="shared" si="291"/>
        <v>520</v>
      </c>
      <c r="BE328" s="210">
        <f t="shared" si="292"/>
        <v>303</v>
      </c>
      <c r="BF328" s="211">
        <f t="shared" si="292"/>
        <v>486</v>
      </c>
      <c r="BG328" s="212">
        <f t="shared" si="293"/>
        <v>624</v>
      </c>
      <c r="BH328" s="213">
        <f t="shared" si="293"/>
        <v>1006</v>
      </c>
    </row>
    <row r="329" spans="1:60" ht="21" x14ac:dyDescent="0.3">
      <c r="A329" s="214" t="s">
        <v>1204</v>
      </c>
      <c r="B329" s="306">
        <v>8</v>
      </c>
      <c r="C329" s="180">
        <v>21</v>
      </c>
      <c r="D329" s="215" t="s">
        <v>79</v>
      </c>
      <c r="E329" s="182" t="s">
        <v>1293</v>
      </c>
      <c r="F329" s="183" t="s">
        <v>1207</v>
      </c>
      <c r="G329" s="216" t="s">
        <v>1294</v>
      </c>
      <c r="H329" s="217" t="s">
        <v>1295</v>
      </c>
      <c r="I329" s="217" t="s">
        <v>1296</v>
      </c>
      <c r="J329" s="218">
        <v>45990.527777777781</v>
      </c>
      <c r="K329" s="223">
        <f t="shared" si="276"/>
        <v>0.57777777778392192</v>
      </c>
      <c r="L329" s="222">
        <v>1.3888888890505768E-2</v>
      </c>
      <c r="M329" s="189">
        <f t="shared" si="277"/>
        <v>0.56388888889341615</v>
      </c>
      <c r="N329" s="189">
        <f t="shared" si="278"/>
        <v>0.60416666667151731</v>
      </c>
      <c r="O329" s="190">
        <f t="shared" si="279"/>
        <v>46.10837438386627</v>
      </c>
      <c r="P329" s="190">
        <f t="shared" si="280"/>
        <v>44.999999999521464</v>
      </c>
      <c r="Q329" s="191">
        <f t="shared" si="281"/>
        <v>43.034482758275182</v>
      </c>
      <c r="R329" s="192" t="s">
        <v>71</v>
      </c>
      <c r="S329" s="193">
        <v>128</v>
      </c>
      <c r="T329" s="194">
        <v>1</v>
      </c>
      <c r="U329" s="195">
        <v>174</v>
      </c>
      <c r="V329" s="196">
        <v>19</v>
      </c>
      <c r="W329" s="219">
        <v>0</v>
      </c>
      <c r="X329" s="220">
        <v>0</v>
      </c>
      <c r="Y329" s="199">
        <f t="shared" si="282"/>
        <v>322</v>
      </c>
      <c r="Z329" s="200">
        <f t="shared" si="283"/>
        <v>515</v>
      </c>
      <c r="AA329" s="193">
        <v>104</v>
      </c>
      <c r="AB329" s="194">
        <v>16</v>
      </c>
      <c r="AC329" s="195">
        <v>138</v>
      </c>
      <c r="AD329" s="201">
        <v>40</v>
      </c>
      <c r="AE329" s="221">
        <v>0</v>
      </c>
      <c r="AF329" s="220">
        <v>4</v>
      </c>
      <c r="AG329" s="199">
        <f t="shared" si="284"/>
        <v>302</v>
      </c>
      <c r="AH329" s="200">
        <f t="shared" si="285"/>
        <v>484</v>
      </c>
      <c r="AI329" s="203">
        <f t="shared" si="289"/>
        <v>624</v>
      </c>
      <c r="AJ329" s="204">
        <f t="shared" si="289"/>
        <v>999</v>
      </c>
      <c r="AK329" s="193">
        <v>0</v>
      </c>
      <c r="AL329" s="194">
        <v>0</v>
      </c>
      <c r="AM329" s="195">
        <v>0</v>
      </c>
      <c r="AN329" s="196">
        <v>0</v>
      </c>
      <c r="AO329" s="219">
        <v>0</v>
      </c>
      <c r="AP329" s="220">
        <v>0</v>
      </c>
      <c r="AQ329" s="205">
        <f t="shared" si="286"/>
        <v>0</v>
      </c>
      <c r="AR329" s="206">
        <f t="shared" si="287"/>
        <v>0</v>
      </c>
      <c r="AS329" s="193">
        <v>0</v>
      </c>
      <c r="AT329" s="194">
        <v>0</v>
      </c>
      <c r="AU329" s="195">
        <v>0</v>
      </c>
      <c r="AV329" s="196">
        <v>0</v>
      </c>
      <c r="AW329" s="219">
        <v>0</v>
      </c>
      <c r="AX329" s="220">
        <v>0</v>
      </c>
      <c r="AY329" s="205">
        <f t="shared" si="288"/>
        <v>0</v>
      </c>
      <c r="AZ329" s="206">
        <f t="shared" si="271"/>
        <v>0</v>
      </c>
      <c r="BA329" s="207">
        <f t="shared" si="290"/>
        <v>0</v>
      </c>
      <c r="BB329" s="204">
        <f t="shared" si="290"/>
        <v>0</v>
      </c>
      <c r="BC329" s="208">
        <f t="shared" si="291"/>
        <v>322</v>
      </c>
      <c r="BD329" s="209">
        <f t="shared" si="291"/>
        <v>515</v>
      </c>
      <c r="BE329" s="210">
        <f t="shared" si="292"/>
        <v>302</v>
      </c>
      <c r="BF329" s="211">
        <f t="shared" si="292"/>
        <v>484</v>
      </c>
      <c r="BG329" s="212">
        <f t="shared" si="293"/>
        <v>624</v>
      </c>
      <c r="BH329" s="213">
        <f t="shared" si="293"/>
        <v>999</v>
      </c>
    </row>
    <row r="330" spans="1:60" ht="21.6" thickBot="1" x14ac:dyDescent="0.35">
      <c r="A330" s="214" t="s">
        <v>1204</v>
      </c>
      <c r="B330" s="306">
        <v>14</v>
      </c>
      <c r="C330" s="180">
        <v>22</v>
      </c>
      <c r="D330" s="215" t="s">
        <v>72</v>
      </c>
      <c r="E330" s="182" t="s">
        <v>1297</v>
      </c>
      <c r="F330" s="183" t="s">
        <v>1298</v>
      </c>
      <c r="G330" s="216" t="s">
        <v>1299</v>
      </c>
      <c r="H330" s="217" t="s">
        <v>1300</v>
      </c>
      <c r="I330" s="217" t="s">
        <v>1301</v>
      </c>
      <c r="J330" s="218">
        <v>45991.020833333336</v>
      </c>
      <c r="K330" s="223">
        <f t="shared" si="276"/>
        <v>0.51597222222335404</v>
      </c>
      <c r="L330" s="222">
        <v>0</v>
      </c>
      <c r="M330" s="189">
        <f t="shared" si="277"/>
        <v>0.51597222222335404</v>
      </c>
      <c r="N330" s="189">
        <f t="shared" si="278"/>
        <v>0.60416666667151731</v>
      </c>
      <c r="O330" s="190">
        <f t="shared" si="279"/>
        <v>48.936742933943798</v>
      </c>
      <c r="P330" s="190">
        <f t="shared" si="280"/>
        <v>48.936742933943798</v>
      </c>
      <c r="Q330" s="191">
        <f t="shared" si="281"/>
        <v>41.793103447940318</v>
      </c>
      <c r="R330" s="192" t="s">
        <v>57</v>
      </c>
      <c r="S330" s="193">
        <v>91</v>
      </c>
      <c r="T330" s="194">
        <v>20</v>
      </c>
      <c r="U330" s="195">
        <v>21</v>
      </c>
      <c r="V330" s="196">
        <v>105</v>
      </c>
      <c r="W330" s="219">
        <v>0</v>
      </c>
      <c r="X330" s="220">
        <v>0</v>
      </c>
      <c r="Y330" s="199">
        <f t="shared" si="282"/>
        <v>237</v>
      </c>
      <c r="Z330" s="200">
        <f t="shared" si="283"/>
        <v>363</v>
      </c>
      <c r="AA330" s="193">
        <v>138</v>
      </c>
      <c r="AB330" s="194">
        <v>0</v>
      </c>
      <c r="AC330" s="195">
        <v>129</v>
      </c>
      <c r="AD330" s="201">
        <v>20</v>
      </c>
      <c r="AE330" s="221">
        <v>0</v>
      </c>
      <c r="AF330" s="220">
        <v>0</v>
      </c>
      <c r="AG330" s="199">
        <f t="shared" si="284"/>
        <v>287</v>
      </c>
      <c r="AH330" s="200">
        <f t="shared" si="285"/>
        <v>436</v>
      </c>
      <c r="AI330" s="203">
        <f t="shared" si="289"/>
        <v>524</v>
      </c>
      <c r="AJ330" s="204">
        <f t="shared" si="289"/>
        <v>799</v>
      </c>
      <c r="AK330" s="193">
        <v>0</v>
      </c>
      <c r="AL330" s="194">
        <v>0</v>
      </c>
      <c r="AM330" s="195">
        <v>0</v>
      </c>
      <c r="AN330" s="196">
        <v>41</v>
      </c>
      <c r="AO330" s="219">
        <v>0</v>
      </c>
      <c r="AP330" s="220">
        <v>0</v>
      </c>
      <c r="AQ330" s="205">
        <f t="shared" si="286"/>
        <v>41</v>
      </c>
      <c r="AR330" s="206">
        <f t="shared" si="287"/>
        <v>82</v>
      </c>
      <c r="AS330" s="193">
        <v>0</v>
      </c>
      <c r="AT330" s="194">
        <v>0</v>
      </c>
      <c r="AU330" s="195">
        <v>0</v>
      </c>
      <c r="AV330" s="196">
        <v>41</v>
      </c>
      <c r="AW330" s="219">
        <v>0</v>
      </c>
      <c r="AX330" s="220">
        <v>0</v>
      </c>
      <c r="AY330" s="205">
        <f t="shared" si="288"/>
        <v>41</v>
      </c>
      <c r="AZ330" s="206">
        <f t="shared" si="271"/>
        <v>82</v>
      </c>
      <c r="BA330" s="207">
        <f t="shared" si="290"/>
        <v>82</v>
      </c>
      <c r="BB330" s="204">
        <f t="shared" si="290"/>
        <v>164</v>
      </c>
      <c r="BC330" s="208">
        <f t="shared" si="291"/>
        <v>278</v>
      </c>
      <c r="BD330" s="209">
        <f t="shared" si="291"/>
        <v>445</v>
      </c>
      <c r="BE330" s="210">
        <f t="shared" si="292"/>
        <v>328</v>
      </c>
      <c r="BF330" s="211">
        <f t="shared" si="292"/>
        <v>518</v>
      </c>
      <c r="BG330" s="212">
        <f t="shared" si="293"/>
        <v>606</v>
      </c>
      <c r="BH330" s="213">
        <f t="shared" si="293"/>
        <v>963</v>
      </c>
    </row>
    <row r="331" spans="1:60" ht="21.6" hidden="1" thickBot="1" x14ac:dyDescent="0.35">
      <c r="A331" s="214" t="s">
        <v>1204</v>
      </c>
      <c r="B331" s="306"/>
      <c r="C331" s="180"/>
      <c r="D331" s="215"/>
      <c r="E331" s="182"/>
      <c r="F331" s="183"/>
      <c r="G331" s="216"/>
      <c r="H331" s="217"/>
      <c r="I331" s="217"/>
      <c r="J331" s="218"/>
      <c r="K331" s="223"/>
      <c r="L331" s="222"/>
      <c r="M331" s="189"/>
      <c r="N331" s="189"/>
      <c r="O331" s="190"/>
      <c r="P331" s="190"/>
      <c r="Q331" s="191"/>
      <c r="R331" s="192"/>
      <c r="S331" s="193"/>
      <c r="T331" s="194"/>
      <c r="U331" s="195"/>
      <c r="V331" s="196"/>
      <c r="W331" s="219"/>
      <c r="X331" s="220"/>
      <c r="Y331" s="199"/>
      <c r="Z331" s="200"/>
      <c r="AA331" s="193"/>
      <c r="AB331" s="194"/>
      <c r="AC331" s="195"/>
      <c r="AD331" s="201"/>
      <c r="AE331" s="221"/>
      <c r="AF331" s="220"/>
      <c r="AG331" s="199"/>
      <c r="AH331" s="200"/>
      <c r="AI331" s="203"/>
      <c r="AJ331" s="204"/>
      <c r="AK331" s="193"/>
      <c r="AL331" s="194"/>
      <c r="AM331" s="195"/>
      <c r="AN331" s="196"/>
      <c r="AO331" s="219"/>
      <c r="AP331" s="220"/>
      <c r="AQ331" s="205"/>
      <c r="AR331" s="206"/>
      <c r="AS331" s="193"/>
      <c r="AT331" s="194"/>
      <c r="AU331" s="195"/>
      <c r="AV331" s="196"/>
      <c r="AW331" s="219"/>
      <c r="AX331" s="220"/>
      <c r="AY331" s="205"/>
      <c r="AZ331" s="206"/>
      <c r="BA331" s="207"/>
      <c r="BB331" s="204"/>
      <c r="BC331" s="208"/>
      <c r="BD331" s="209"/>
      <c r="BE331" s="210"/>
      <c r="BF331" s="211"/>
      <c r="BG331" s="212"/>
      <c r="BH331" s="213"/>
    </row>
    <row r="332" spans="1:60" ht="21.6" hidden="1" thickBot="1" x14ac:dyDescent="0.35">
      <c r="A332" s="214" t="s">
        <v>1204</v>
      </c>
      <c r="B332" s="306"/>
      <c r="C332" s="180"/>
      <c r="D332" s="215"/>
      <c r="E332" s="182"/>
      <c r="F332" s="183"/>
      <c r="G332" s="216"/>
      <c r="H332" s="217"/>
      <c r="I332" s="217"/>
      <c r="J332" s="218"/>
      <c r="K332" s="223"/>
      <c r="L332" s="222"/>
      <c r="M332" s="189"/>
      <c r="N332" s="189"/>
      <c r="O332" s="190"/>
      <c r="P332" s="190"/>
      <c r="Q332" s="191"/>
      <c r="R332" s="192"/>
      <c r="S332" s="193"/>
      <c r="T332" s="194"/>
      <c r="U332" s="195"/>
      <c r="V332" s="196"/>
      <c r="W332" s="219"/>
      <c r="X332" s="220"/>
      <c r="Y332" s="199"/>
      <c r="Z332" s="200"/>
      <c r="AA332" s="193"/>
      <c r="AB332" s="194"/>
      <c r="AC332" s="195"/>
      <c r="AD332" s="201"/>
      <c r="AE332" s="221"/>
      <c r="AF332" s="220"/>
      <c r="AG332" s="199"/>
      <c r="AH332" s="200"/>
      <c r="AI332" s="203"/>
      <c r="AJ332" s="204"/>
      <c r="AK332" s="193"/>
      <c r="AL332" s="194"/>
      <c r="AM332" s="195"/>
      <c r="AN332" s="196"/>
      <c r="AO332" s="219"/>
      <c r="AP332" s="220"/>
      <c r="AQ332" s="205"/>
      <c r="AR332" s="206"/>
      <c r="AS332" s="193"/>
      <c r="AT332" s="194"/>
      <c r="AU332" s="195"/>
      <c r="AV332" s="196"/>
      <c r="AW332" s="219"/>
      <c r="AX332" s="220"/>
      <c r="AY332" s="205"/>
      <c r="AZ332" s="206"/>
      <c r="BA332" s="207"/>
      <c r="BB332" s="204"/>
      <c r="BC332" s="208"/>
      <c r="BD332" s="209"/>
      <c r="BE332" s="210"/>
      <c r="BF332" s="211"/>
      <c r="BG332" s="212"/>
      <c r="BH332" s="213"/>
    </row>
    <row r="333" spans="1:60" ht="21.6" hidden="1" thickBot="1" x14ac:dyDescent="0.35">
      <c r="A333" s="214" t="s">
        <v>1204</v>
      </c>
      <c r="B333" s="306"/>
      <c r="C333" s="180"/>
      <c r="D333" s="215"/>
      <c r="E333" s="182"/>
      <c r="F333" s="183"/>
      <c r="G333" s="216"/>
      <c r="H333" s="217"/>
      <c r="I333" s="217"/>
      <c r="J333" s="218"/>
      <c r="K333" s="223"/>
      <c r="L333" s="222"/>
      <c r="M333" s="189"/>
      <c r="N333" s="189"/>
      <c r="O333" s="190"/>
      <c r="P333" s="190"/>
      <c r="Q333" s="191"/>
      <c r="R333" s="192"/>
      <c r="S333" s="193"/>
      <c r="T333" s="194"/>
      <c r="U333" s="195"/>
      <c r="V333" s="196"/>
      <c r="W333" s="219"/>
      <c r="X333" s="220"/>
      <c r="Y333" s="199"/>
      <c r="Z333" s="200"/>
      <c r="AA333" s="193"/>
      <c r="AB333" s="194"/>
      <c r="AC333" s="195"/>
      <c r="AD333" s="201"/>
      <c r="AE333" s="221"/>
      <c r="AF333" s="220"/>
      <c r="AG333" s="199"/>
      <c r="AH333" s="200"/>
      <c r="AI333" s="203"/>
      <c r="AJ333" s="204"/>
      <c r="AK333" s="193"/>
      <c r="AL333" s="194"/>
      <c r="AM333" s="195"/>
      <c r="AN333" s="196"/>
      <c r="AO333" s="219"/>
      <c r="AP333" s="220"/>
      <c r="AQ333" s="205"/>
      <c r="AR333" s="206"/>
      <c r="AS333" s="193"/>
      <c r="AT333" s="194"/>
      <c r="AU333" s="195"/>
      <c r="AV333" s="196"/>
      <c r="AW333" s="219"/>
      <c r="AX333" s="220"/>
      <c r="AY333" s="205"/>
      <c r="AZ333" s="206"/>
      <c r="BA333" s="207"/>
      <c r="BB333" s="204"/>
      <c r="BC333" s="208"/>
      <c r="BD333" s="209"/>
      <c r="BE333" s="210"/>
      <c r="BF333" s="211"/>
      <c r="BG333" s="212"/>
      <c r="BH333" s="213"/>
    </row>
    <row r="334" spans="1:60" ht="21.6" hidden="1" thickBot="1" x14ac:dyDescent="0.35">
      <c r="A334" s="214" t="s">
        <v>1204</v>
      </c>
      <c r="B334" s="306"/>
      <c r="C334" s="180"/>
      <c r="D334" s="215"/>
      <c r="E334" s="182"/>
      <c r="F334" s="183"/>
      <c r="G334" s="216"/>
      <c r="H334" s="217"/>
      <c r="I334" s="217"/>
      <c r="J334" s="218"/>
      <c r="K334" s="223"/>
      <c r="L334" s="222"/>
      <c r="M334" s="189"/>
      <c r="N334" s="189"/>
      <c r="O334" s="190"/>
      <c r="P334" s="190"/>
      <c r="Q334" s="191"/>
      <c r="R334" s="192"/>
      <c r="S334" s="193"/>
      <c r="T334" s="194"/>
      <c r="U334" s="195"/>
      <c r="V334" s="196"/>
      <c r="W334" s="219"/>
      <c r="X334" s="220"/>
      <c r="Y334" s="199"/>
      <c r="Z334" s="200"/>
      <c r="AA334" s="193"/>
      <c r="AB334" s="194"/>
      <c r="AC334" s="195"/>
      <c r="AD334" s="201"/>
      <c r="AE334" s="221"/>
      <c r="AF334" s="220"/>
      <c r="AG334" s="199"/>
      <c r="AH334" s="200"/>
      <c r="AI334" s="203"/>
      <c r="AJ334" s="204"/>
      <c r="AK334" s="193"/>
      <c r="AL334" s="194"/>
      <c r="AM334" s="195"/>
      <c r="AN334" s="196"/>
      <c r="AO334" s="219"/>
      <c r="AP334" s="220"/>
      <c r="AQ334" s="205"/>
      <c r="AR334" s="206"/>
      <c r="AS334" s="193"/>
      <c r="AT334" s="194"/>
      <c r="AU334" s="195"/>
      <c r="AV334" s="196"/>
      <c r="AW334" s="219"/>
      <c r="AX334" s="220"/>
      <c r="AY334" s="205"/>
      <c r="AZ334" s="206"/>
      <c r="BA334" s="207"/>
      <c r="BB334" s="204"/>
      <c r="BC334" s="208"/>
      <c r="BD334" s="209"/>
      <c r="BE334" s="210"/>
      <c r="BF334" s="211"/>
      <c r="BG334" s="212"/>
      <c r="BH334" s="213"/>
    </row>
    <row r="335" spans="1:60" ht="21.6" hidden="1" thickBot="1" x14ac:dyDescent="0.35">
      <c r="A335" s="214" t="s">
        <v>1204</v>
      </c>
      <c r="B335" s="306"/>
      <c r="C335" s="180"/>
      <c r="D335" s="215"/>
      <c r="E335" s="182"/>
      <c r="F335" s="183"/>
      <c r="G335" s="216"/>
      <c r="H335" s="217"/>
      <c r="I335" s="217"/>
      <c r="J335" s="218"/>
      <c r="K335" s="223"/>
      <c r="L335" s="222"/>
      <c r="M335" s="189"/>
      <c r="N335" s="189"/>
      <c r="O335" s="190"/>
      <c r="P335" s="190"/>
      <c r="Q335" s="191"/>
      <c r="R335" s="192"/>
      <c r="S335" s="193"/>
      <c r="T335" s="194"/>
      <c r="U335" s="195"/>
      <c r="V335" s="196"/>
      <c r="W335" s="219"/>
      <c r="X335" s="220"/>
      <c r="Y335" s="199"/>
      <c r="Z335" s="200"/>
      <c r="AA335" s="193"/>
      <c r="AB335" s="194"/>
      <c r="AC335" s="195"/>
      <c r="AD335" s="201"/>
      <c r="AE335" s="221"/>
      <c r="AF335" s="220"/>
      <c r="AG335" s="199"/>
      <c r="AH335" s="200"/>
      <c r="AI335" s="203"/>
      <c r="AJ335" s="204"/>
      <c r="AK335" s="193"/>
      <c r="AL335" s="194"/>
      <c r="AM335" s="195"/>
      <c r="AN335" s="196"/>
      <c r="AO335" s="219"/>
      <c r="AP335" s="220"/>
      <c r="AQ335" s="205"/>
      <c r="AR335" s="206"/>
      <c r="AS335" s="193"/>
      <c r="AT335" s="194"/>
      <c r="AU335" s="195"/>
      <c r="AV335" s="196"/>
      <c r="AW335" s="219"/>
      <c r="AX335" s="220"/>
      <c r="AY335" s="205"/>
      <c r="AZ335" s="206"/>
      <c r="BA335" s="207"/>
      <c r="BB335" s="204"/>
      <c r="BC335" s="208"/>
      <c r="BD335" s="209"/>
      <c r="BE335" s="210"/>
      <c r="BF335" s="211"/>
      <c r="BG335" s="212"/>
      <c r="BH335" s="213"/>
    </row>
    <row r="336" spans="1:60" ht="21.6" hidden="1" thickBot="1" x14ac:dyDescent="0.35">
      <c r="A336" s="214" t="s">
        <v>1204</v>
      </c>
      <c r="B336" s="306"/>
      <c r="C336" s="180"/>
      <c r="D336" s="215"/>
      <c r="E336" s="182"/>
      <c r="F336" s="183"/>
      <c r="G336" s="216"/>
      <c r="H336" s="217"/>
      <c r="I336" s="217"/>
      <c r="J336" s="218"/>
      <c r="K336" s="223"/>
      <c r="L336" s="222"/>
      <c r="M336" s="189"/>
      <c r="N336" s="189"/>
      <c r="O336" s="190"/>
      <c r="P336" s="190"/>
      <c r="Q336" s="191"/>
      <c r="R336" s="192"/>
      <c r="S336" s="193"/>
      <c r="T336" s="194"/>
      <c r="U336" s="195"/>
      <c r="V336" s="196"/>
      <c r="W336" s="219"/>
      <c r="X336" s="220"/>
      <c r="Y336" s="199"/>
      <c r="Z336" s="200"/>
      <c r="AA336" s="193"/>
      <c r="AB336" s="194"/>
      <c r="AC336" s="195"/>
      <c r="AD336" s="201"/>
      <c r="AE336" s="221"/>
      <c r="AF336" s="220"/>
      <c r="AG336" s="199"/>
      <c r="AH336" s="200"/>
      <c r="AI336" s="203"/>
      <c r="AJ336" s="204"/>
      <c r="AK336" s="193"/>
      <c r="AL336" s="194"/>
      <c r="AM336" s="195"/>
      <c r="AN336" s="196"/>
      <c r="AO336" s="219"/>
      <c r="AP336" s="220"/>
      <c r="AQ336" s="205"/>
      <c r="AR336" s="206"/>
      <c r="AS336" s="193"/>
      <c r="AT336" s="194"/>
      <c r="AU336" s="195"/>
      <c r="AV336" s="196"/>
      <c r="AW336" s="219"/>
      <c r="AX336" s="220"/>
      <c r="AY336" s="205"/>
      <c r="AZ336" s="206"/>
      <c r="BA336" s="207"/>
      <c r="BB336" s="204"/>
      <c r="BC336" s="208"/>
      <c r="BD336" s="209"/>
      <c r="BE336" s="210"/>
      <c r="BF336" s="211"/>
      <c r="BG336" s="212"/>
      <c r="BH336" s="213"/>
    </row>
    <row r="337" spans="1:60" ht="21.6" hidden="1" thickBot="1" x14ac:dyDescent="0.35">
      <c r="A337" s="214" t="s">
        <v>1204</v>
      </c>
      <c r="B337" s="306"/>
      <c r="C337" s="180"/>
      <c r="D337" s="215"/>
      <c r="E337" s="182"/>
      <c r="F337" s="183"/>
      <c r="G337" s="216"/>
      <c r="H337" s="217"/>
      <c r="I337" s="217"/>
      <c r="J337" s="218"/>
      <c r="K337" s="223"/>
      <c r="L337" s="222"/>
      <c r="M337" s="189"/>
      <c r="N337" s="189"/>
      <c r="O337" s="190"/>
      <c r="P337" s="190"/>
      <c r="Q337" s="191"/>
      <c r="R337" s="192"/>
      <c r="S337" s="193"/>
      <c r="T337" s="194"/>
      <c r="U337" s="195"/>
      <c r="V337" s="196"/>
      <c r="W337" s="219"/>
      <c r="X337" s="220"/>
      <c r="Y337" s="199"/>
      <c r="Z337" s="200"/>
      <c r="AA337" s="193"/>
      <c r="AB337" s="194"/>
      <c r="AC337" s="195"/>
      <c r="AD337" s="201"/>
      <c r="AE337" s="221"/>
      <c r="AF337" s="220"/>
      <c r="AG337" s="199"/>
      <c r="AH337" s="200"/>
      <c r="AI337" s="203"/>
      <c r="AJ337" s="204"/>
      <c r="AK337" s="193"/>
      <c r="AL337" s="194"/>
      <c r="AM337" s="195"/>
      <c r="AN337" s="196"/>
      <c r="AO337" s="219"/>
      <c r="AP337" s="220"/>
      <c r="AQ337" s="205"/>
      <c r="AR337" s="206"/>
      <c r="AS337" s="193"/>
      <c r="AT337" s="194"/>
      <c r="AU337" s="195"/>
      <c r="AV337" s="196"/>
      <c r="AW337" s="219"/>
      <c r="AX337" s="220"/>
      <c r="AY337" s="205"/>
      <c r="AZ337" s="206"/>
      <c r="BA337" s="207"/>
      <c r="BB337" s="204"/>
      <c r="BC337" s="208"/>
      <c r="BD337" s="209"/>
      <c r="BE337" s="210"/>
      <c r="BF337" s="211"/>
      <c r="BG337" s="212"/>
      <c r="BH337" s="213"/>
    </row>
    <row r="338" spans="1:60" s="153" customFormat="1" ht="23.4" thickBot="1" x14ac:dyDescent="0.35">
      <c r="A338" s="317" t="s">
        <v>1302</v>
      </c>
      <c r="B338" s="317" t="s">
        <v>1302</v>
      </c>
      <c r="C338" s="324" t="s">
        <v>2</v>
      </c>
      <c r="D338" s="252" t="s">
        <v>1303</v>
      </c>
      <c r="E338" s="318" t="s">
        <v>534</v>
      </c>
      <c r="F338" s="159" t="s">
        <v>5</v>
      </c>
      <c r="G338" s="160" t="s">
        <v>6</v>
      </c>
      <c r="H338" s="161" t="s">
        <v>7</v>
      </c>
      <c r="I338" s="161" t="s">
        <v>8</v>
      </c>
      <c r="J338" s="326" t="s">
        <v>9</v>
      </c>
      <c r="K338" s="163" t="s">
        <v>38</v>
      </c>
      <c r="L338" s="164" t="s">
        <v>38</v>
      </c>
      <c r="M338" s="166" t="s">
        <v>38</v>
      </c>
      <c r="N338" s="166" t="s">
        <v>38</v>
      </c>
      <c r="O338" s="165" t="s">
        <v>39</v>
      </c>
      <c r="P338" s="165" t="s">
        <v>39</v>
      </c>
      <c r="Q338" s="254" t="s">
        <v>39</v>
      </c>
      <c r="R338" s="319" t="s">
        <v>17</v>
      </c>
      <c r="S338" s="327">
        <f t="shared" ref="S338:X338" si="294">SUM(S339:S367)</f>
        <v>2674</v>
      </c>
      <c r="T338" s="170">
        <f t="shared" si="294"/>
        <v>124</v>
      </c>
      <c r="U338" s="171">
        <f t="shared" si="294"/>
        <v>2890</v>
      </c>
      <c r="V338" s="172">
        <f t="shared" si="294"/>
        <v>732</v>
      </c>
      <c r="W338" s="173">
        <f t="shared" si="294"/>
        <v>0</v>
      </c>
      <c r="X338" s="174">
        <f t="shared" si="294"/>
        <v>6</v>
      </c>
      <c r="Y338" s="169">
        <f>SUM(S338:X338)</f>
        <v>6426</v>
      </c>
      <c r="Z338" s="175">
        <f>Y338+SUM(U338:V338)+X338</f>
        <v>10054</v>
      </c>
      <c r="AA338" s="169">
        <f t="shared" ref="AA338:AF338" si="295">SUM(AA339:AA367)</f>
        <v>2750</v>
      </c>
      <c r="AB338" s="170">
        <f t="shared" si="295"/>
        <v>640</v>
      </c>
      <c r="AC338" s="171">
        <f t="shared" si="295"/>
        <v>2704</v>
      </c>
      <c r="AD338" s="320">
        <f t="shared" si="295"/>
        <v>1074</v>
      </c>
      <c r="AE338" s="321">
        <f t="shared" si="295"/>
        <v>0</v>
      </c>
      <c r="AF338" s="174">
        <f t="shared" si="295"/>
        <v>112</v>
      </c>
      <c r="AG338" s="169">
        <f>SUM(AA338:AF338)</f>
        <v>7280</v>
      </c>
      <c r="AH338" s="175">
        <f>AG338+SUM(AC338:AD338)+AF338</f>
        <v>11170</v>
      </c>
      <c r="AI338" s="169">
        <f t="shared" ref="AI338:AJ353" si="296">Y338+AG338</f>
        <v>13706</v>
      </c>
      <c r="AJ338" s="175">
        <f t="shared" si="296"/>
        <v>21224</v>
      </c>
      <c r="AK338" s="169">
        <f t="shared" ref="AK338:AP338" si="297">SUM(AK339:AK367)</f>
        <v>0</v>
      </c>
      <c r="AL338" s="170">
        <f t="shared" si="297"/>
        <v>0</v>
      </c>
      <c r="AM338" s="171">
        <f t="shared" si="297"/>
        <v>17</v>
      </c>
      <c r="AN338" s="172">
        <f t="shared" si="297"/>
        <v>0</v>
      </c>
      <c r="AO338" s="173">
        <f t="shared" si="297"/>
        <v>0</v>
      </c>
      <c r="AP338" s="174">
        <f t="shared" si="297"/>
        <v>0</v>
      </c>
      <c r="AQ338" s="169">
        <f t="shared" ref="AQ338" si="298">SUM(AK338:AP338)</f>
        <v>17</v>
      </c>
      <c r="AR338" s="170">
        <f>AQ338+SUM(AM338:AN338)+AP338</f>
        <v>34</v>
      </c>
      <c r="AS338" s="169">
        <f t="shared" ref="AS338:AX338" si="299">SUM(AS339:AS367)</f>
        <v>0</v>
      </c>
      <c r="AT338" s="170">
        <f t="shared" si="299"/>
        <v>0</v>
      </c>
      <c r="AU338" s="171">
        <f t="shared" si="299"/>
        <v>17</v>
      </c>
      <c r="AV338" s="320">
        <f t="shared" si="299"/>
        <v>0</v>
      </c>
      <c r="AW338" s="321">
        <f t="shared" si="299"/>
        <v>0</v>
      </c>
      <c r="AX338" s="174">
        <f t="shared" si="299"/>
        <v>0</v>
      </c>
      <c r="AY338" s="169">
        <f t="shared" ref="AY338" si="300">SUM(AS338:AX338)</f>
        <v>17</v>
      </c>
      <c r="AZ338" s="170">
        <f>AY338+SUM(AU338:AV338)+AX338</f>
        <v>34</v>
      </c>
      <c r="BA338" s="169">
        <f t="shared" ref="BA338:BB353" si="301">AQ338+AY338</f>
        <v>34</v>
      </c>
      <c r="BB338" s="170">
        <f t="shared" si="301"/>
        <v>68</v>
      </c>
      <c r="BC338" s="169">
        <f t="shared" ref="BC338:BD353" si="302">Y338+AQ338</f>
        <v>6443</v>
      </c>
      <c r="BD338" s="170">
        <f t="shared" si="302"/>
        <v>10088</v>
      </c>
      <c r="BE338" s="169">
        <f t="shared" ref="BE338:BF353" si="303">AG338+AY338</f>
        <v>7297</v>
      </c>
      <c r="BF338" s="176">
        <f t="shared" si="303"/>
        <v>11204</v>
      </c>
      <c r="BG338" s="169">
        <f t="shared" ref="BG338:BH353" si="304">BC338+BE338</f>
        <v>13740</v>
      </c>
      <c r="BH338" s="170">
        <f t="shared" si="304"/>
        <v>21292</v>
      </c>
    </row>
    <row r="339" spans="1:60" ht="21" x14ac:dyDescent="0.3">
      <c r="A339" s="178" t="s">
        <v>1302</v>
      </c>
      <c r="B339" s="306">
        <v>1</v>
      </c>
      <c r="C339" s="180">
        <v>1</v>
      </c>
      <c r="D339" s="215" t="s">
        <v>51</v>
      </c>
      <c r="E339" s="182" t="s">
        <v>1304</v>
      </c>
      <c r="F339" s="183" t="s">
        <v>1305</v>
      </c>
      <c r="G339" s="216" t="s">
        <v>1306</v>
      </c>
      <c r="H339" s="217" t="s">
        <v>1307</v>
      </c>
      <c r="I339" s="217" t="s">
        <v>1308</v>
      </c>
      <c r="J339" s="218">
        <v>45993.375</v>
      </c>
      <c r="K339" s="223">
        <f t="shared" ref="K339:K360" si="305">I339-H339</f>
        <v>0.39930555555474712</v>
      </c>
      <c r="L339" s="222">
        <v>0</v>
      </c>
      <c r="M339" s="189">
        <f t="shared" ref="M339:M360" si="306">K339-L339</f>
        <v>0.39930555555474712</v>
      </c>
      <c r="N339" s="189">
        <f t="shared" ref="N339:N360" si="307">J339-G339</f>
        <v>0.47222222221898846</v>
      </c>
      <c r="O339" s="190">
        <f t="shared" ref="O339:O360" si="308">BG339/M339/24</f>
        <v>37.669565217467571</v>
      </c>
      <c r="P339" s="190">
        <f t="shared" ref="P339:P360" si="309">BG339/K339/24</f>
        <v>37.669565217467571</v>
      </c>
      <c r="Q339" s="191">
        <f t="shared" ref="Q339:Q360" si="310">BG339/N339/24</f>
        <v>31.852941176688716</v>
      </c>
      <c r="R339" s="192" t="s">
        <v>57</v>
      </c>
      <c r="S339" s="193">
        <v>0</v>
      </c>
      <c r="T339" s="194">
        <v>24</v>
      </c>
      <c r="U339" s="195">
        <v>0</v>
      </c>
      <c r="V339" s="196">
        <v>2</v>
      </c>
      <c r="W339" s="219">
        <v>0</v>
      </c>
      <c r="X339" s="220">
        <v>0</v>
      </c>
      <c r="Y339" s="199">
        <f t="shared" ref="Y339:Y367" si="311">SUM(S339:X339)</f>
        <v>26</v>
      </c>
      <c r="Z339" s="200">
        <f t="shared" ref="Z339:Z367" si="312">Y339+SUM(U339:V339)+X339</f>
        <v>28</v>
      </c>
      <c r="AA339" s="193">
        <v>146</v>
      </c>
      <c r="AB339" s="194">
        <v>20</v>
      </c>
      <c r="AC339" s="195">
        <v>145</v>
      </c>
      <c r="AD339" s="201">
        <v>20</v>
      </c>
      <c r="AE339" s="221">
        <v>0</v>
      </c>
      <c r="AF339" s="220">
        <v>4</v>
      </c>
      <c r="AG339" s="199">
        <f t="shared" ref="AG339:AG367" si="313">SUM(AA339:AF339)</f>
        <v>335</v>
      </c>
      <c r="AH339" s="200">
        <f t="shared" ref="AH339:AH367" si="314">AG339+SUM(AC339:AD339)+AF339</f>
        <v>504</v>
      </c>
      <c r="AI339" s="203">
        <f t="shared" si="296"/>
        <v>361</v>
      </c>
      <c r="AJ339" s="204">
        <f t="shared" si="296"/>
        <v>532</v>
      </c>
      <c r="AK339" s="193">
        <v>0</v>
      </c>
      <c r="AL339" s="194">
        <v>0</v>
      </c>
      <c r="AM339" s="195">
        <v>0</v>
      </c>
      <c r="AN339" s="196">
        <v>0</v>
      </c>
      <c r="AO339" s="219">
        <v>0</v>
      </c>
      <c r="AP339" s="220">
        <v>0</v>
      </c>
      <c r="AQ339" s="205">
        <f t="shared" ref="AQ339:AQ367" si="315">SUM(AK339:AP339)</f>
        <v>0</v>
      </c>
      <c r="AR339" s="206">
        <f t="shared" ref="AR339:AR367" si="316">AQ339+SUM(AM339:AN339)+AP339</f>
        <v>0</v>
      </c>
      <c r="AS339" s="193">
        <v>0</v>
      </c>
      <c r="AT339" s="194">
        <v>0</v>
      </c>
      <c r="AU339" s="195">
        <v>0</v>
      </c>
      <c r="AV339" s="196">
        <v>0</v>
      </c>
      <c r="AW339" s="219">
        <v>0</v>
      </c>
      <c r="AX339" s="220">
        <v>0</v>
      </c>
      <c r="AY339" s="205">
        <f t="shared" ref="AY339:AY367" si="317">SUM(AS339:AX339)</f>
        <v>0</v>
      </c>
      <c r="AZ339" s="206">
        <f t="shared" ref="AZ339:AZ367" si="318">AY339+SUM(AU339:AV339)+AX339</f>
        <v>0</v>
      </c>
      <c r="BA339" s="207">
        <f t="shared" si="301"/>
        <v>0</v>
      </c>
      <c r="BB339" s="204">
        <f t="shared" si="301"/>
        <v>0</v>
      </c>
      <c r="BC339" s="208">
        <f t="shared" si="302"/>
        <v>26</v>
      </c>
      <c r="BD339" s="209">
        <f t="shared" si="302"/>
        <v>28</v>
      </c>
      <c r="BE339" s="210">
        <f t="shared" si="303"/>
        <v>335</v>
      </c>
      <c r="BF339" s="211">
        <f t="shared" si="303"/>
        <v>504</v>
      </c>
      <c r="BG339" s="212">
        <f t="shared" si="304"/>
        <v>361</v>
      </c>
      <c r="BH339" s="213">
        <f t="shared" si="304"/>
        <v>532</v>
      </c>
    </row>
    <row r="340" spans="1:60" ht="21" x14ac:dyDescent="0.3">
      <c r="A340" s="214" t="s">
        <v>1302</v>
      </c>
      <c r="B340" s="306">
        <v>2</v>
      </c>
      <c r="C340" s="180">
        <v>2</v>
      </c>
      <c r="D340" s="215" t="s">
        <v>58</v>
      </c>
      <c r="E340" s="182" t="s">
        <v>1309</v>
      </c>
      <c r="F340" s="183" t="s">
        <v>1155</v>
      </c>
      <c r="G340" s="216" t="s">
        <v>1310</v>
      </c>
      <c r="H340" s="217" t="s">
        <v>1311</v>
      </c>
      <c r="I340" s="217" t="s">
        <v>1312</v>
      </c>
      <c r="J340" s="218">
        <v>45995.416666666664</v>
      </c>
      <c r="K340" s="223">
        <f t="shared" si="305"/>
        <v>0.87361111111385981</v>
      </c>
      <c r="L340" s="222">
        <v>6.9444444452528842E-3</v>
      </c>
      <c r="M340" s="189">
        <f t="shared" si="306"/>
        <v>0.86666666666860692</v>
      </c>
      <c r="N340" s="189">
        <f t="shared" si="307"/>
        <v>0.94097222221898846</v>
      </c>
      <c r="O340" s="190">
        <f t="shared" si="308"/>
        <v>50.817307692193928</v>
      </c>
      <c r="P340" s="190">
        <f t="shared" si="309"/>
        <v>50.413354530842973</v>
      </c>
      <c r="Q340" s="191">
        <f t="shared" si="310"/>
        <v>46.804428044441295</v>
      </c>
      <c r="R340" s="192" t="s">
        <v>57</v>
      </c>
      <c r="S340" s="193">
        <v>178</v>
      </c>
      <c r="T340" s="194">
        <v>6</v>
      </c>
      <c r="U340" s="195">
        <v>237</v>
      </c>
      <c r="V340" s="196">
        <v>113</v>
      </c>
      <c r="W340" s="219">
        <v>0</v>
      </c>
      <c r="X340" s="220">
        <v>1</v>
      </c>
      <c r="Y340" s="199">
        <f t="shared" si="311"/>
        <v>535</v>
      </c>
      <c r="Z340" s="200">
        <f t="shared" si="312"/>
        <v>886</v>
      </c>
      <c r="AA340" s="193">
        <v>190</v>
      </c>
      <c r="AB340" s="194">
        <v>64</v>
      </c>
      <c r="AC340" s="195">
        <v>156</v>
      </c>
      <c r="AD340" s="201">
        <v>105</v>
      </c>
      <c r="AE340" s="221">
        <v>0</v>
      </c>
      <c r="AF340" s="220">
        <v>7</v>
      </c>
      <c r="AG340" s="199">
        <f t="shared" si="313"/>
        <v>522</v>
      </c>
      <c r="AH340" s="200">
        <f t="shared" si="314"/>
        <v>790</v>
      </c>
      <c r="AI340" s="203">
        <f t="shared" si="296"/>
        <v>1057</v>
      </c>
      <c r="AJ340" s="204">
        <f t="shared" si="296"/>
        <v>1676</v>
      </c>
      <c r="AK340" s="193">
        <v>0</v>
      </c>
      <c r="AL340" s="194">
        <v>0</v>
      </c>
      <c r="AM340" s="195">
        <v>0</v>
      </c>
      <c r="AN340" s="196">
        <v>0</v>
      </c>
      <c r="AO340" s="219">
        <v>0</v>
      </c>
      <c r="AP340" s="220">
        <v>0</v>
      </c>
      <c r="AQ340" s="205">
        <f t="shared" si="315"/>
        <v>0</v>
      </c>
      <c r="AR340" s="206">
        <f t="shared" si="316"/>
        <v>0</v>
      </c>
      <c r="AS340" s="193">
        <v>0</v>
      </c>
      <c r="AT340" s="194">
        <v>0</v>
      </c>
      <c r="AU340" s="195">
        <v>0</v>
      </c>
      <c r="AV340" s="196">
        <v>0</v>
      </c>
      <c r="AW340" s="219">
        <v>0</v>
      </c>
      <c r="AX340" s="220">
        <v>0</v>
      </c>
      <c r="AY340" s="205">
        <f t="shared" si="317"/>
        <v>0</v>
      </c>
      <c r="AZ340" s="206">
        <f t="shared" si="318"/>
        <v>0</v>
      </c>
      <c r="BA340" s="207">
        <f t="shared" si="301"/>
        <v>0</v>
      </c>
      <c r="BB340" s="204">
        <f t="shared" si="301"/>
        <v>0</v>
      </c>
      <c r="BC340" s="208">
        <f t="shared" si="302"/>
        <v>535</v>
      </c>
      <c r="BD340" s="209">
        <f t="shared" si="302"/>
        <v>886</v>
      </c>
      <c r="BE340" s="210">
        <f t="shared" si="303"/>
        <v>522</v>
      </c>
      <c r="BF340" s="211">
        <f t="shared" si="303"/>
        <v>790</v>
      </c>
      <c r="BG340" s="212">
        <f t="shared" si="304"/>
        <v>1057</v>
      </c>
      <c r="BH340" s="213">
        <f t="shared" si="304"/>
        <v>1676</v>
      </c>
    </row>
    <row r="341" spans="1:60" ht="21" x14ac:dyDescent="0.3">
      <c r="A341" s="214" t="s">
        <v>1302</v>
      </c>
      <c r="B341" s="306">
        <v>1</v>
      </c>
      <c r="C341" s="180">
        <v>3</v>
      </c>
      <c r="D341" s="215" t="s">
        <v>65</v>
      </c>
      <c r="E341" s="182" t="s">
        <v>1313</v>
      </c>
      <c r="F341" s="183" t="s">
        <v>1314</v>
      </c>
      <c r="G341" s="216" t="s">
        <v>1315</v>
      </c>
      <c r="H341" s="217" t="s">
        <v>1316</v>
      </c>
      <c r="I341" s="217" t="s">
        <v>1317</v>
      </c>
      <c r="J341" s="218">
        <v>45996.194444444445</v>
      </c>
      <c r="K341" s="223">
        <f t="shared" si="305"/>
        <v>0.51666666666278616</v>
      </c>
      <c r="L341" s="222">
        <v>0</v>
      </c>
      <c r="M341" s="189">
        <f t="shared" si="306"/>
        <v>0.51666666666278616</v>
      </c>
      <c r="N341" s="189">
        <f t="shared" si="307"/>
        <v>0.54513888889050577</v>
      </c>
      <c r="O341" s="190">
        <f t="shared" si="308"/>
        <v>50.483870968121103</v>
      </c>
      <c r="P341" s="190">
        <f t="shared" si="309"/>
        <v>50.483870968121103</v>
      </c>
      <c r="Q341" s="191">
        <f t="shared" si="310"/>
        <v>47.847133757819869</v>
      </c>
      <c r="R341" s="192" t="s">
        <v>71</v>
      </c>
      <c r="S341" s="193">
        <v>130</v>
      </c>
      <c r="T341" s="194">
        <v>2</v>
      </c>
      <c r="U341" s="195">
        <v>172</v>
      </c>
      <c r="V341" s="196">
        <v>24</v>
      </c>
      <c r="W341" s="219">
        <v>0</v>
      </c>
      <c r="X341" s="220">
        <v>1</v>
      </c>
      <c r="Y341" s="199">
        <f t="shared" si="311"/>
        <v>329</v>
      </c>
      <c r="Z341" s="200">
        <f t="shared" si="312"/>
        <v>526</v>
      </c>
      <c r="AA341" s="193">
        <v>100</v>
      </c>
      <c r="AB341" s="194">
        <v>14</v>
      </c>
      <c r="AC341" s="195">
        <v>138</v>
      </c>
      <c r="AD341" s="201">
        <v>41</v>
      </c>
      <c r="AE341" s="221">
        <v>0</v>
      </c>
      <c r="AF341" s="220">
        <v>4</v>
      </c>
      <c r="AG341" s="199">
        <f t="shared" si="313"/>
        <v>297</v>
      </c>
      <c r="AH341" s="200">
        <f t="shared" si="314"/>
        <v>480</v>
      </c>
      <c r="AI341" s="203">
        <f t="shared" si="296"/>
        <v>626</v>
      </c>
      <c r="AJ341" s="204">
        <f t="shared" si="296"/>
        <v>1006</v>
      </c>
      <c r="AK341" s="193">
        <v>0</v>
      </c>
      <c r="AL341" s="194">
        <v>0</v>
      </c>
      <c r="AM341" s="195">
        <v>0</v>
      </c>
      <c r="AN341" s="196">
        <v>0</v>
      </c>
      <c r="AO341" s="219">
        <v>0</v>
      </c>
      <c r="AP341" s="220">
        <v>0</v>
      </c>
      <c r="AQ341" s="205">
        <f t="shared" si="315"/>
        <v>0</v>
      </c>
      <c r="AR341" s="206">
        <f t="shared" si="316"/>
        <v>0</v>
      </c>
      <c r="AS341" s="193">
        <v>0</v>
      </c>
      <c r="AT341" s="194">
        <v>0</v>
      </c>
      <c r="AU341" s="195">
        <v>0</v>
      </c>
      <c r="AV341" s="196">
        <v>0</v>
      </c>
      <c r="AW341" s="219">
        <v>0</v>
      </c>
      <c r="AX341" s="220">
        <v>0</v>
      </c>
      <c r="AY341" s="205">
        <f t="shared" si="317"/>
        <v>0</v>
      </c>
      <c r="AZ341" s="206">
        <f t="shared" si="318"/>
        <v>0</v>
      </c>
      <c r="BA341" s="207">
        <f t="shared" si="301"/>
        <v>0</v>
      </c>
      <c r="BB341" s="204">
        <f t="shared" si="301"/>
        <v>0</v>
      </c>
      <c r="BC341" s="208">
        <f t="shared" si="302"/>
        <v>329</v>
      </c>
      <c r="BD341" s="209">
        <f t="shared" si="302"/>
        <v>526</v>
      </c>
      <c r="BE341" s="210">
        <f t="shared" si="303"/>
        <v>297</v>
      </c>
      <c r="BF341" s="211">
        <f t="shared" si="303"/>
        <v>480</v>
      </c>
      <c r="BG341" s="212">
        <f t="shared" si="304"/>
        <v>626</v>
      </c>
      <c r="BH341" s="213">
        <f t="shared" si="304"/>
        <v>1006</v>
      </c>
    </row>
    <row r="342" spans="1:60" ht="21" x14ac:dyDescent="0.3">
      <c r="A342" s="214" t="s">
        <v>1302</v>
      </c>
      <c r="B342" s="306">
        <v>2</v>
      </c>
      <c r="C342" s="180">
        <v>4</v>
      </c>
      <c r="D342" s="215" t="s">
        <v>79</v>
      </c>
      <c r="E342" s="182" t="s">
        <v>1318</v>
      </c>
      <c r="F342" s="183" t="s">
        <v>1237</v>
      </c>
      <c r="G342" s="216" t="s">
        <v>1319</v>
      </c>
      <c r="H342" s="217" t="s">
        <v>1320</v>
      </c>
      <c r="I342" s="217" t="s">
        <v>1321</v>
      </c>
      <c r="J342" s="218">
        <v>45997.791666666664</v>
      </c>
      <c r="K342" s="223">
        <f t="shared" si="305"/>
        <v>0.5819444444423425</v>
      </c>
      <c r="L342" s="222">
        <v>0</v>
      </c>
      <c r="M342" s="189">
        <f t="shared" si="306"/>
        <v>0.5819444444423425</v>
      </c>
      <c r="N342" s="189">
        <f t="shared" si="307"/>
        <v>0.65277777777373558</v>
      </c>
      <c r="O342" s="190">
        <f t="shared" si="308"/>
        <v>43.389021479870316</v>
      </c>
      <c r="P342" s="190">
        <f t="shared" si="309"/>
        <v>43.389021479870316</v>
      </c>
      <c r="Q342" s="191">
        <f t="shared" si="310"/>
        <v>38.680851064069309</v>
      </c>
      <c r="R342" s="192" t="s">
        <v>71</v>
      </c>
      <c r="S342" s="193">
        <v>115</v>
      </c>
      <c r="T342" s="194">
        <v>2</v>
      </c>
      <c r="U342" s="195">
        <v>167</v>
      </c>
      <c r="V342" s="196">
        <v>23</v>
      </c>
      <c r="W342" s="219">
        <v>0</v>
      </c>
      <c r="X342" s="220">
        <v>1</v>
      </c>
      <c r="Y342" s="199">
        <f t="shared" si="311"/>
        <v>308</v>
      </c>
      <c r="Z342" s="200">
        <f t="shared" si="312"/>
        <v>499</v>
      </c>
      <c r="AA342" s="193">
        <v>106</v>
      </c>
      <c r="AB342" s="194">
        <v>10</v>
      </c>
      <c r="AC342" s="195">
        <v>137</v>
      </c>
      <c r="AD342" s="201">
        <v>40</v>
      </c>
      <c r="AE342" s="221">
        <v>0</v>
      </c>
      <c r="AF342" s="220">
        <v>5</v>
      </c>
      <c r="AG342" s="199">
        <f t="shared" si="313"/>
        <v>298</v>
      </c>
      <c r="AH342" s="200">
        <f t="shared" si="314"/>
        <v>480</v>
      </c>
      <c r="AI342" s="203">
        <f t="shared" si="296"/>
        <v>606</v>
      </c>
      <c r="AJ342" s="204">
        <f t="shared" si="296"/>
        <v>979</v>
      </c>
      <c r="AK342" s="193">
        <v>0</v>
      </c>
      <c r="AL342" s="194">
        <v>0</v>
      </c>
      <c r="AM342" s="195">
        <v>0</v>
      </c>
      <c r="AN342" s="196">
        <v>0</v>
      </c>
      <c r="AO342" s="219">
        <v>0</v>
      </c>
      <c r="AP342" s="220">
        <v>0</v>
      </c>
      <c r="AQ342" s="205">
        <f t="shared" si="315"/>
        <v>0</v>
      </c>
      <c r="AR342" s="206">
        <f t="shared" si="316"/>
        <v>0</v>
      </c>
      <c r="AS342" s="193">
        <v>0</v>
      </c>
      <c r="AT342" s="194">
        <v>0</v>
      </c>
      <c r="AU342" s="195">
        <v>0</v>
      </c>
      <c r="AV342" s="196">
        <v>0</v>
      </c>
      <c r="AW342" s="219">
        <v>0</v>
      </c>
      <c r="AX342" s="220">
        <v>0</v>
      </c>
      <c r="AY342" s="205">
        <f t="shared" si="317"/>
        <v>0</v>
      </c>
      <c r="AZ342" s="206">
        <f t="shared" si="318"/>
        <v>0</v>
      </c>
      <c r="BA342" s="207">
        <f t="shared" si="301"/>
        <v>0</v>
      </c>
      <c r="BB342" s="204">
        <f t="shared" si="301"/>
        <v>0</v>
      </c>
      <c r="BC342" s="208">
        <f t="shared" si="302"/>
        <v>308</v>
      </c>
      <c r="BD342" s="209">
        <f t="shared" si="302"/>
        <v>499</v>
      </c>
      <c r="BE342" s="210">
        <f t="shared" si="303"/>
        <v>298</v>
      </c>
      <c r="BF342" s="211">
        <f t="shared" si="303"/>
        <v>480</v>
      </c>
      <c r="BG342" s="212">
        <f t="shared" si="304"/>
        <v>606</v>
      </c>
      <c r="BH342" s="213">
        <f t="shared" si="304"/>
        <v>979</v>
      </c>
    </row>
    <row r="343" spans="1:60" ht="21" x14ac:dyDescent="0.3">
      <c r="A343" s="214" t="s">
        <v>1302</v>
      </c>
      <c r="B343" s="306">
        <v>3</v>
      </c>
      <c r="C343" s="180">
        <v>5</v>
      </c>
      <c r="D343" s="215" t="s">
        <v>72</v>
      </c>
      <c r="E343" s="182" t="s">
        <v>1322</v>
      </c>
      <c r="F343" s="183" t="s">
        <v>1284</v>
      </c>
      <c r="G343" s="216" t="s">
        <v>1323</v>
      </c>
      <c r="H343" s="217" t="s">
        <v>1324</v>
      </c>
      <c r="I343" s="217" t="s">
        <v>1325</v>
      </c>
      <c r="J343" s="218">
        <v>45998.8125</v>
      </c>
      <c r="K343" s="223">
        <f t="shared" si="305"/>
        <v>0.66180555555183673</v>
      </c>
      <c r="L343" s="222">
        <v>0</v>
      </c>
      <c r="M343" s="189">
        <f t="shared" si="306"/>
        <v>0.66180555555183673</v>
      </c>
      <c r="N343" s="189">
        <f t="shared" si="307"/>
        <v>0.74305555555474712</v>
      </c>
      <c r="O343" s="190">
        <f t="shared" si="308"/>
        <v>37.082896117731984</v>
      </c>
      <c r="P343" s="190">
        <f t="shared" si="309"/>
        <v>37.082896117731984</v>
      </c>
      <c r="Q343" s="191">
        <f t="shared" si="310"/>
        <v>33.028037383213508</v>
      </c>
      <c r="R343" s="192" t="s">
        <v>57</v>
      </c>
      <c r="S343" s="193">
        <v>117</v>
      </c>
      <c r="T343" s="194">
        <v>0</v>
      </c>
      <c r="U343" s="195">
        <v>35</v>
      </c>
      <c r="V343" s="196">
        <v>0</v>
      </c>
      <c r="W343" s="219">
        <v>0</v>
      </c>
      <c r="X343" s="220">
        <v>0</v>
      </c>
      <c r="Y343" s="199">
        <f t="shared" si="311"/>
        <v>152</v>
      </c>
      <c r="Z343" s="200">
        <f t="shared" si="312"/>
        <v>187</v>
      </c>
      <c r="AA343" s="193">
        <v>135</v>
      </c>
      <c r="AB343" s="194">
        <v>0</v>
      </c>
      <c r="AC343" s="195">
        <v>114</v>
      </c>
      <c r="AD343" s="201">
        <v>188</v>
      </c>
      <c r="AE343" s="221">
        <v>0</v>
      </c>
      <c r="AF343" s="220">
        <v>0</v>
      </c>
      <c r="AG343" s="199">
        <f t="shared" si="313"/>
        <v>437</v>
      </c>
      <c r="AH343" s="200">
        <f t="shared" si="314"/>
        <v>739</v>
      </c>
      <c r="AI343" s="203">
        <f t="shared" si="296"/>
        <v>589</v>
      </c>
      <c r="AJ343" s="204">
        <f t="shared" si="296"/>
        <v>926</v>
      </c>
      <c r="AK343" s="193">
        <v>0</v>
      </c>
      <c r="AL343" s="194">
        <v>0</v>
      </c>
      <c r="AM343" s="195">
        <v>0</v>
      </c>
      <c r="AN343" s="196">
        <v>0</v>
      </c>
      <c r="AO343" s="219">
        <v>0</v>
      </c>
      <c r="AP343" s="220">
        <v>0</v>
      </c>
      <c r="AQ343" s="205">
        <f t="shared" si="315"/>
        <v>0</v>
      </c>
      <c r="AR343" s="206">
        <f t="shared" si="316"/>
        <v>0</v>
      </c>
      <c r="AS343" s="193">
        <v>0</v>
      </c>
      <c r="AT343" s="194">
        <v>0</v>
      </c>
      <c r="AU343" s="195">
        <v>0</v>
      </c>
      <c r="AV343" s="196">
        <v>0</v>
      </c>
      <c r="AW343" s="219">
        <v>0</v>
      </c>
      <c r="AX343" s="220">
        <v>0</v>
      </c>
      <c r="AY343" s="205">
        <f t="shared" si="317"/>
        <v>0</v>
      </c>
      <c r="AZ343" s="206">
        <f t="shared" si="318"/>
        <v>0</v>
      </c>
      <c r="BA343" s="207">
        <f t="shared" si="301"/>
        <v>0</v>
      </c>
      <c r="BB343" s="204">
        <f t="shared" si="301"/>
        <v>0</v>
      </c>
      <c r="BC343" s="208">
        <f t="shared" si="302"/>
        <v>152</v>
      </c>
      <c r="BD343" s="209">
        <f t="shared" si="302"/>
        <v>187</v>
      </c>
      <c r="BE343" s="210">
        <f t="shared" si="303"/>
        <v>437</v>
      </c>
      <c r="BF343" s="211">
        <f t="shared" si="303"/>
        <v>739</v>
      </c>
      <c r="BG343" s="212">
        <f t="shared" si="304"/>
        <v>589</v>
      </c>
      <c r="BH343" s="213">
        <f t="shared" si="304"/>
        <v>926</v>
      </c>
    </row>
    <row r="344" spans="1:60" ht="21" x14ac:dyDescent="0.3">
      <c r="A344" s="214" t="s">
        <v>1302</v>
      </c>
      <c r="B344" s="306">
        <v>4</v>
      </c>
      <c r="C344" s="180">
        <v>6</v>
      </c>
      <c r="D344" s="215" t="s">
        <v>231</v>
      </c>
      <c r="E344" s="182" t="s">
        <v>1326</v>
      </c>
      <c r="F344" s="183" t="s">
        <v>1125</v>
      </c>
      <c r="G344" s="216" t="s">
        <v>1327</v>
      </c>
      <c r="H344" s="217" t="s">
        <v>1328</v>
      </c>
      <c r="I344" s="217" t="s">
        <v>1329</v>
      </c>
      <c r="J344" s="218">
        <v>45999.5625</v>
      </c>
      <c r="K344" s="223">
        <f t="shared" si="305"/>
        <v>0.62986111111240461</v>
      </c>
      <c r="L344" s="222">
        <v>0</v>
      </c>
      <c r="M344" s="189">
        <f t="shared" si="306"/>
        <v>0.62986111111240461</v>
      </c>
      <c r="N344" s="189">
        <f t="shared" si="307"/>
        <v>0.89236111110949423</v>
      </c>
      <c r="O344" s="190">
        <f t="shared" si="308"/>
        <v>25.137816979000196</v>
      </c>
      <c r="P344" s="190">
        <f t="shared" si="309"/>
        <v>25.137816979000196</v>
      </c>
      <c r="Q344" s="191">
        <f t="shared" si="310"/>
        <v>17.743190661510749</v>
      </c>
      <c r="R344" s="192" t="s">
        <v>57</v>
      </c>
      <c r="S344" s="193">
        <v>72</v>
      </c>
      <c r="T344" s="194">
        <v>2</v>
      </c>
      <c r="U344" s="195">
        <v>79</v>
      </c>
      <c r="V344" s="196">
        <v>0</v>
      </c>
      <c r="W344" s="219">
        <v>0</v>
      </c>
      <c r="X344" s="220">
        <v>0</v>
      </c>
      <c r="Y344" s="199">
        <f t="shared" si="311"/>
        <v>153</v>
      </c>
      <c r="Z344" s="200">
        <f t="shared" si="312"/>
        <v>232</v>
      </c>
      <c r="AA344" s="193">
        <v>122</v>
      </c>
      <c r="AB344" s="194">
        <v>20</v>
      </c>
      <c r="AC344" s="195">
        <v>56</v>
      </c>
      <c r="AD344" s="201">
        <v>20</v>
      </c>
      <c r="AE344" s="221">
        <v>0</v>
      </c>
      <c r="AF344" s="220">
        <v>9</v>
      </c>
      <c r="AG344" s="199">
        <f t="shared" si="313"/>
        <v>227</v>
      </c>
      <c r="AH344" s="200">
        <f t="shared" si="314"/>
        <v>312</v>
      </c>
      <c r="AI344" s="203">
        <f t="shared" si="296"/>
        <v>380</v>
      </c>
      <c r="AJ344" s="204">
        <f t="shared" si="296"/>
        <v>544</v>
      </c>
      <c r="AK344" s="193">
        <v>0</v>
      </c>
      <c r="AL344" s="194">
        <v>0</v>
      </c>
      <c r="AM344" s="195">
        <v>0</v>
      </c>
      <c r="AN344" s="196">
        <v>0</v>
      </c>
      <c r="AO344" s="219">
        <v>0</v>
      </c>
      <c r="AP344" s="220">
        <v>0</v>
      </c>
      <c r="AQ344" s="205">
        <f t="shared" si="315"/>
        <v>0</v>
      </c>
      <c r="AR344" s="206">
        <f t="shared" si="316"/>
        <v>0</v>
      </c>
      <c r="AS344" s="193">
        <v>0</v>
      </c>
      <c r="AT344" s="194">
        <v>0</v>
      </c>
      <c r="AU344" s="195">
        <v>0</v>
      </c>
      <c r="AV344" s="196">
        <v>0</v>
      </c>
      <c r="AW344" s="219">
        <v>0</v>
      </c>
      <c r="AX344" s="220">
        <v>0</v>
      </c>
      <c r="AY344" s="205">
        <f t="shared" si="317"/>
        <v>0</v>
      </c>
      <c r="AZ344" s="206">
        <f t="shared" si="318"/>
        <v>0</v>
      </c>
      <c r="BA344" s="207">
        <f t="shared" si="301"/>
        <v>0</v>
      </c>
      <c r="BB344" s="204">
        <f t="shared" si="301"/>
        <v>0</v>
      </c>
      <c r="BC344" s="208">
        <f t="shared" si="302"/>
        <v>153</v>
      </c>
      <c r="BD344" s="209">
        <f t="shared" si="302"/>
        <v>232</v>
      </c>
      <c r="BE344" s="210">
        <f t="shared" si="303"/>
        <v>227</v>
      </c>
      <c r="BF344" s="211">
        <f t="shared" si="303"/>
        <v>312</v>
      </c>
      <c r="BG344" s="212">
        <f t="shared" si="304"/>
        <v>380</v>
      </c>
      <c r="BH344" s="213">
        <f t="shared" si="304"/>
        <v>544</v>
      </c>
    </row>
    <row r="345" spans="1:60" ht="21" x14ac:dyDescent="0.3">
      <c r="A345" s="214" t="s">
        <v>1302</v>
      </c>
      <c r="B345" s="306">
        <v>5</v>
      </c>
      <c r="C345" s="180">
        <v>7</v>
      </c>
      <c r="D345" s="215" t="s">
        <v>655</v>
      </c>
      <c r="E345" s="182" t="s">
        <v>1330</v>
      </c>
      <c r="F345" s="183" t="s">
        <v>1298</v>
      </c>
      <c r="G345" s="216" t="s">
        <v>1331</v>
      </c>
      <c r="H345" s="217" t="s">
        <v>1332</v>
      </c>
      <c r="I345" s="217" t="s">
        <v>1333</v>
      </c>
      <c r="J345" s="218">
        <v>45999.5625</v>
      </c>
      <c r="K345" s="223">
        <f t="shared" si="305"/>
        <v>0.41458333333139308</v>
      </c>
      <c r="L345" s="222">
        <v>0</v>
      </c>
      <c r="M345" s="189">
        <f t="shared" si="306"/>
        <v>0.41458333333139308</v>
      </c>
      <c r="N345" s="189">
        <f t="shared" si="307"/>
        <v>0.6875</v>
      </c>
      <c r="O345" s="190">
        <f t="shared" si="308"/>
        <v>26.432160804143805</v>
      </c>
      <c r="P345" s="190">
        <f t="shared" si="309"/>
        <v>26.432160804143805</v>
      </c>
      <c r="Q345" s="191">
        <f t="shared" si="310"/>
        <v>15.939393939393939</v>
      </c>
      <c r="R345" s="192" t="s">
        <v>57</v>
      </c>
      <c r="S345" s="193">
        <v>101</v>
      </c>
      <c r="T345" s="194">
        <v>0</v>
      </c>
      <c r="U345" s="195">
        <v>51</v>
      </c>
      <c r="V345" s="196">
        <v>0</v>
      </c>
      <c r="W345" s="219">
        <v>0</v>
      </c>
      <c r="X345" s="220">
        <v>0</v>
      </c>
      <c r="Y345" s="199">
        <f t="shared" si="311"/>
        <v>152</v>
      </c>
      <c r="Z345" s="200">
        <f t="shared" si="312"/>
        <v>203</v>
      </c>
      <c r="AA345" s="193">
        <v>0</v>
      </c>
      <c r="AB345" s="194">
        <v>43</v>
      </c>
      <c r="AC345" s="195">
        <v>0</v>
      </c>
      <c r="AD345" s="201">
        <v>68</v>
      </c>
      <c r="AE345" s="221">
        <v>0</v>
      </c>
      <c r="AF345" s="220">
        <v>0</v>
      </c>
      <c r="AG345" s="199">
        <f t="shared" si="313"/>
        <v>111</v>
      </c>
      <c r="AH345" s="200">
        <f t="shared" si="314"/>
        <v>179</v>
      </c>
      <c r="AI345" s="203">
        <f t="shared" si="296"/>
        <v>263</v>
      </c>
      <c r="AJ345" s="204">
        <f t="shared" si="296"/>
        <v>382</v>
      </c>
      <c r="AK345" s="193">
        <v>0</v>
      </c>
      <c r="AL345" s="194">
        <v>0</v>
      </c>
      <c r="AM345" s="195">
        <v>0</v>
      </c>
      <c r="AN345" s="196">
        <v>0</v>
      </c>
      <c r="AO345" s="219">
        <v>0</v>
      </c>
      <c r="AP345" s="220">
        <v>0</v>
      </c>
      <c r="AQ345" s="205">
        <f t="shared" si="315"/>
        <v>0</v>
      </c>
      <c r="AR345" s="206">
        <f t="shared" si="316"/>
        <v>0</v>
      </c>
      <c r="AS345" s="193">
        <v>0</v>
      </c>
      <c r="AT345" s="194">
        <v>0</v>
      </c>
      <c r="AU345" s="195">
        <v>0</v>
      </c>
      <c r="AV345" s="196">
        <v>0</v>
      </c>
      <c r="AW345" s="219">
        <v>0</v>
      </c>
      <c r="AX345" s="220">
        <v>0</v>
      </c>
      <c r="AY345" s="205">
        <f t="shared" si="317"/>
        <v>0</v>
      </c>
      <c r="AZ345" s="206">
        <f t="shared" si="318"/>
        <v>0</v>
      </c>
      <c r="BA345" s="207">
        <f t="shared" si="301"/>
        <v>0</v>
      </c>
      <c r="BB345" s="204">
        <f t="shared" si="301"/>
        <v>0</v>
      </c>
      <c r="BC345" s="208">
        <f t="shared" si="302"/>
        <v>152</v>
      </c>
      <c r="BD345" s="209">
        <f t="shared" si="302"/>
        <v>203</v>
      </c>
      <c r="BE345" s="210">
        <f t="shared" si="303"/>
        <v>111</v>
      </c>
      <c r="BF345" s="211">
        <f t="shared" si="303"/>
        <v>179</v>
      </c>
      <c r="BG345" s="212">
        <f t="shared" si="304"/>
        <v>263</v>
      </c>
      <c r="BH345" s="213">
        <f t="shared" si="304"/>
        <v>382</v>
      </c>
    </row>
    <row r="346" spans="1:60" ht="21" x14ac:dyDescent="0.3">
      <c r="A346" s="214" t="s">
        <v>1302</v>
      </c>
      <c r="B346" s="306">
        <v>6</v>
      </c>
      <c r="C346" s="180">
        <v>8</v>
      </c>
      <c r="D346" s="215" t="s">
        <v>51</v>
      </c>
      <c r="E346" s="182" t="s">
        <v>1334</v>
      </c>
      <c r="F346" s="183" t="s">
        <v>1237</v>
      </c>
      <c r="G346" s="216" t="s">
        <v>1335</v>
      </c>
      <c r="H346" s="217" t="s">
        <v>1336</v>
      </c>
      <c r="I346" s="217" t="s">
        <v>1337</v>
      </c>
      <c r="J346" s="218">
        <v>46001.333333333336</v>
      </c>
      <c r="K346" s="223">
        <f t="shared" si="305"/>
        <v>0.55277777777519077</v>
      </c>
      <c r="L346" s="222">
        <v>0</v>
      </c>
      <c r="M346" s="189">
        <f t="shared" si="306"/>
        <v>0.55277777777519077</v>
      </c>
      <c r="N346" s="189">
        <f t="shared" si="307"/>
        <v>0.56944444444525288</v>
      </c>
      <c r="O346" s="190">
        <f t="shared" si="308"/>
        <v>49.296482412291006</v>
      </c>
      <c r="P346" s="190">
        <f t="shared" si="309"/>
        <v>49.296482412291006</v>
      </c>
      <c r="Q346" s="191">
        <f t="shared" si="310"/>
        <v>47.853658536517429</v>
      </c>
      <c r="R346" s="192" t="s">
        <v>57</v>
      </c>
      <c r="S346" s="193">
        <v>146</v>
      </c>
      <c r="T346" s="194">
        <v>1</v>
      </c>
      <c r="U346" s="195">
        <v>159</v>
      </c>
      <c r="V346" s="196">
        <v>40</v>
      </c>
      <c r="W346" s="219">
        <v>0</v>
      </c>
      <c r="X346" s="220">
        <v>0</v>
      </c>
      <c r="Y346" s="199">
        <f t="shared" si="311"/>
        <v>346</v>
      </c>
      <c r="Z346" s="200">
        <f t="shared" si="312"/>
        <v>545</v>
      </c>
      <c r="AA346" s="193">
        <v>152</v>
      </c>
      <c r="AB346" s="194">
        <v>0</v>
      </c>
      <c r="AC346" s="195">
        <v>141</v>
      </c>
      <c r="AD346" s="201">
        <v>10</v>
      </c>
      <c r="AE346" s="221">
        <v>0</v>
      </c>
      <c r="AF346" s="220">
        <v>5</v>
      </c>
      <c r="AG346" s="199">
        <f t="shared" si="313"/>
        <v>308</v>
      </c>
      <c r="AH346" s="200">
        <f t="shared" si="314"/>
        <v>464</v>
      </c>
      <c r="AI346" s="203">
        <f t="shared" si="296"/>
        <v>654</v>
      </c>
      <c r="AJ346" s="204">
        <f t="shared" si="296"/>
        <v>1009</v>
      </c>
      <c r="AK346" s="193">
        <v>0</v>
      </c>
      <c r="AL346" s="194">
        <v>0</v>
      </c>
      <c r="AM346" s="195">
        <v>0</v>
      </c>
      <c r="AN346" s="196">
        <v>0</v>
      </c>
      <c r="AO346" s="219">
        <v>0</v>
      </c>
      <c r="AP346" s="220">
        <v>0</v>
      </c>
      <c r="AQ346" s="205">
        <f t="shared" si="315"/>
        <v>0</v>
      </c>
      <c r="AR346" s="206">
        <f t="shared" si="316"/>
        <v>0</v>
      </c>
      <c r="AS346" s="193">
        <v>0</v>
      </c>
      <c r="AT346" s="194">
        <v>0</v>
      </c>
      <c r="AU346" s="195">
        <v>0</v>
      </c>
      <c r="AV346" s="196">
        <v>0</v>
      </c>
      <c r="AW346" s="219">
        <v>0</v>
      </c>
      <c r="AX346" s="220">
        <v>0</v>
      </c>
      <c r="AY346" s="205">
        <f t="shared" si="317"/>
        <v>0</v>
      </c>
      <c r="AZ346" s="206">
        <f t="shared" si="318"/>
        <v>0</v>
      </c>
      <c r="BA346" s="207">
        <f t="shared" si="301"/>
        <v>0</v>
      </c>
      <c r="BB346" s="204">
        <f t="shared" si="301"/>
        <v>0</v>
      </c>
      <c r="BC346" s="208">
        <f t="shared" si="302"/>
        <v>346</v>
      </c>
      <c r="BD346" s="209">
        <f t="shared" si="302"/>
        <v>545</v>
      </c>
      <c r="BE346" s="210">
        <f t="shared" si="303"/>
        <v>308</v>
      </c>
      <c r="BF346" s="211">
        <f t="shared" si="303"/>
        <v>464</v>
      </c>
      <c r="BG346" s="212">
        <f t="shared" si="304"/>
        <v>654</v>
      </c>
      <c r="BH346" s="213">
        <f t="shared" si="304"/>
        <v>1009</v>
      </c>
    </row>
    <row r="347" spans="1:60" ht="21" x14ac:dyDescent="0.3">
      <c r="A347" s="214" t="s">
        <v>1302</v>
      </c>
      <c r="B347" s="306">
        <v>3</v>
      </c>
      <c r="C347" s="180">
        <v>9</v>
      </c>
      <c r="D347" s="215" t="s">
        <v>65</v>
      </c>
      <c r="E347" s="182" t="s">
        <v>1338</v>
      </c>
      <c r="F347" s="183" t="s">
        <v>1339</v>
      </c>
      <c r="G347" s="216" t="s">
        <v>1340</v>
      </c>
      <c r="H347" s="217" t="s">
        <v>1341</v>
      </c>
      <c r="I347" s="217" t="s">
        <v>1342</v>
      </c>
      <c r="J347" s="218">
        <v>46004.041666666664</v>
      </c>
      <c r="K347" s="223">
        <f t="shared" si="305"/>
        <v>0.50277777777955635</v>
      </c>
      <c r="L347" s="222">
        <v>0</v>
      </c>
      <c r="M347" s="189">
        <f t="shared" si="306"/>
        <v>0.50277777777955635</v>
      </c>
      <c r="N347" s="189">
        <f t="shared" si="307"/>
        <v>0.52083333332848269</v>
      </c>
      <c r="O347" s="190">
        <f t="shared" si="308"/>
        <v>51.546961325784508</v>
      </c>
      <c r="P347" s="190">
        <f t="shared" si="309"/>
        <v>51.546961325784508</v>
      </c>
      <c r="Q347" s="191">
        <f t="shared" si="310"/>
        <v>49.760000000463428</v>
      </c>
      <c r="R347" s="192" t="s">
        <v>71</v>
      </c>
      <c r="S347" s="193">
        <v>128</v>
      </c>
      <c r="T347" s="194">
        <v>2</v>
      </c>
      <c r="U347" s="195">
        <v>162</v>
      </c>
      <c r="V347" s="196">
        <v>29</v>
      </c>
      <c r="W347" s="219">
        <v>0</v>
      </c>
      <c r="X347" s="220">
        <v>0</v>
      </c>
      <c r="Y347" s="199">
        <f t="shared" si="311"/>
        <v>321</v>
      </c>
      <c r="Z347" s="200">
        <f t="shared" si="312"/>
        <v>512</v>
      </c>
      <c r="AA347" s="193">
        <v>108</v>
      </c>
      <c r="AB347" s="194">
        <v>12</v>
      </c>
      <c r="AC347" s="195">
        <v>137</v>
      </c>
      <c r="AD347" s="201">
        <v>40</v>
      </c>
      <c r="AE347" s="221">
        <v>0</v>
      </c>
      <c r="AF347" s="220">
        <v>4</v>
      </c>
      <c r="AG347" s="199">
        <f t="shared" si="313"/>
        <v>301</v>
      </c>
      <c r="AH347" s="200">
        <f t="shared" si="314"/>
        <v>482</v>
      </c>
      <c r="AI347" s="203">
        <f t="shared" si="296"/>
        <v>622</v>
      </c>
      <c r="AJ347" s="204">
        <f t="shared" si="296"/>
        <v>994</v>
      </c>
      <c r="AK347" s="193">
        <v>0</v>
      </c>
      <c r="AL347" s="194">
        <v>0</v>
      </c>
      <c r="AM347" s="195">
        <v>0</v>
      </c>
      <c r="AN347" s="196">
        <v>0</v>
      </c>
      <c r="AO347" s="219">
        <v>0</v>
      </c>
      <c r="AP347" s="220">
        <v>0</v>
      </c>
      <c r="AQ347" s="205">
        <f t="shared" si="315"/>
        <v>0</v>
      </c>
      <c r="AR347" s="206">
        <f t="shared" si="316"/>
        <v>0</v>
      </c>
      <c r="AS347" s="193">
        <v>0</v>
      </c>
      <c r="AT347" s="194">
        <v>0</v>
      </c>
      <c r="AU347" s="195">
        <v>0</v>
      </c>
      <c r="AV347" s="196">
        <v>0</v>
      </c>
      <c r="AW347" s="219">
        <v>0</v>
      </c>
      <c r="AX347" s="220">
        <v>0</v>
      </c>
      <c r="AY347" s="205">
        <f t="shared" si="317"/>
        <v>0</v>
      </c>
      <c r="AZ347" s="206">
        <f t="shared" si="318"/>
        <v>0</v>
      </c>
      <c r="BA347" s="207">
        <f t="shared" si="301"/>
        <v>0</v>
      </c>
      <c r="BB347" s="204">
        <f t="shared" si="301"/>
        <v>0</v>
      </c>
      <c r="BC347" s="208">
        <f t="shared" si="302"/>
        <v>321</v>
      </c>
      <c r="BD347" s="209">
        <f t="shared" si="302"/>
        <v>512</v>
      </c>
      <c r="BE347" s="210">
        <f t="shared" si="303"/>
        <v>301</v>
      </c>
      <c r="BF347" s="211">
        <f t="shared" si="303"/>
        <v>482</v>
      </c>
      <c r="BG347" s="212">
        <f t="shared" si="304"/>
        <v>622</v>
      </c>
      <c r="BH347" s="213">
        <f t="shared" si="304"/>
        <v>994</v>
      </c>
    </row>
    <row r="348" spans="1:60" ht="21" x14ac:dyDescent="0.3">
      <c r="A348" s="214" t="s">
        <v>1302</v>
      </c>
      <c r="B348" s="306">
        <v>7</v>
      </c>
      <c r="C348" s="180">
        <v>10</v>
      </c>
      <c r="D348" s="215" t="s">
        <v>58</v>
      </c>
      <c r="E348" s="182" t="s">
        <v>1343</v>
      </c>
      <c r="F348" s="183" t="s">
        <v>1179</v>
      </c>
      <c r="G348" s="216" t="s">
        <v>1344</v>
      </c>
      <c r="H348" s="217" t="s">
        <v>1345</v>
      </c>
      <c r="I348" s="217" t="s">
        <v>1346</v>
      </c>
      <c r="J348" s="218">
        <v>46005.041666666664</v>
      </c>
      <c r="K348" s="223">
        <f t="shared" si="305"/>
        <v>0.79722222222335404</v>
      </c>
      <c r="L348" s="222">
        <v>0</v>
      </c>
      <c r="M348" s="189">
        <f t="shared" si="306"/>
        <v>0.79722222222335404</v>
      </c>
      <c r="N348" s="189">
        <f t="shared" si="307"/>
        <v>0.95833333332848269</v>
      </c>
      <c r="O348" s="190">
        <f t="shared" si="308"/>
        <v>52.317073170657437</v>
      </c>
      <c r="P348" s="190">
        <f t="shared" si="309"/>
        <v>52.317073170657437</v>
      </c>
      <c r="Q348" s="191">
        <f t="shared" si="310"/>
        <v>43.521739130655071</v>
      </c>
      <c r="R348" s="192" t="s">
        <v>57</v>
      </c>
      <c r="S348" s="193">
        <v>194</v>
      </c>
      <c r="T348" s="194">
        <v>0</v>
      </c>
      <c r="U348" s="195">
        <v>222</v>
      </c>
      <c r="V348" s="196">
        <v>93</v>
      </c>
      <c r="W348" s="219">
        <v>0</v>
      </c>
      <c r="X348" s="220">
        <v>0</v>
      </c>
      <c r="Y348" s="199">
        <f t="shared" si="311"/>
        <v>509</v>
      </c>
      <c r="Z348" s="200">
        <f t="shared" si="312"/>
        <v>824</v>
      </c>
      <c r="AA348" s="193">
        <v>198</v>
      </c>
      <c r="AB348" s="194">
        <v>62</v>
      </c>
      <c r="AC348" s="195">
        <v>183</v>
      </c>
      <c r="AD348" s="201">
        <v>40</v>
      </c>
      <c r="AE348" s="221">
        <v>0</v>
      </c>
      <c r="AF348" s="220">
        <v>9</v>
      </c>
      <c r="AG348" s="199">
        <f t="shared" si="313"/>
        <v>492</v>
      </c>
      <c r="AH348" s="200">
        <f t="shared" si="314"/>
        <v>724</v>
      </c>
      <c r="AI348" s="203">
        <f t="shared" si="296"/>
        <v>1001</v>
      </c>
      <c r="AJ348" s="204">
        <f t="shared" si="296"/>
        <v>1548</v>
      </c>
      <c r="AK348" s="193">
        <v>0</v>
      </c>
      <c r="AL348" s="194">
        <v>0</v>
      </c>
      <c r="AM348" s="195">
        <v>0</v>
      </c>
      <c r="AN348" s="196">
        <v>0</v>
      </c>
      <c r="AO348" s="219">
        <v>0</v>
      </c>
      <c r="AP348" s="220">
        <v>0</v>
      </c>
      <c r="AQ348" s="205">
        <f t="shared" si="315"/>
        <v>0</v>
      </c>
      <c r="AR348" s="206">
        <f t="shared" si="316"/>
        <v>0</v>
      </c>
      <c r="AS348" s="193">
        <v>0</v>
      </c>
      <c r="AT348" s="194">
        <v>0</v>
      </c>
      <c r="AU348" s="195">
        <v>0</v>
      </c>
      <c r="AV348" s="196">
        <v>0</v>
      </c>
      <c r="AW348" s="219">
        <v>0</v>
      </c>
      <c r="AX348" s="220">
        <v>0</v>
      </c>
      <c r="AY348" s="205">
        <f t="shared" si="317"/>
        <v>0</v>
      </c>
      <c r="AZ348" s="206">
        <f t="shared" si="318"/>
        <v>0</v>
      </c>
      <c r="BA348" s="207">
        <f t="shared" si="301"/>
        <v>0</v>
      </c>
      <c r="BB348" s="204">
        <f t="shared" si="301"/>
        <v>0</v>
      </c>
      <c r="BC348" s="208">
        <f t="shared" si="302"/>
        <v>509</v>
      </c>
      <c r="BD348" s="209">
        <f t="shared" si="302"/>
        <v>824</v>
      </c>
      <c r="BE348" s="210">
        <f t="shared" si="303"/>
        <v>492</v>
      </c>
      <c r="BF348" s="211">
        <f t="shared" si="303"/>
        <v>724</v>
      </c>
      <c r="BG348" s="212">
        <f t="shared" si="304"/>
        <v>1001</v>
      </c>
      <c r="BH348" s="213">
        <f t="shared" si="304"/>
        <v>1548</v>
      </c>
    </row>
    <row r="349" spans="1:60" ht="21" x14ac:dyDescent="0.3">
      <c r="A349" s="214" t="s">
        <v>1302</v>
      </c>
      <c r="B349" s="306">
        <v>4</v>
      </c>
      <c r="C349" s="180">
        <v>11</v>
      </c>
      <c r="D349" s="215" t="s">
        <v>79</v>
      </c>
      <c r="E349" s="182" t="s">
        <v>1347</v>
      </c>
      <c r="F349" s="183" t="s">
        <v>1263</v>
      </c>
      <c r="G349" s="216" t="s">
        <v>1348</v>
      </c>
      <c r="H349" s="217" t="s">
        <v>1349</v>
      </c>
      <c r="I349" s="217" t="s">
        <v>1350</v>
      </c>
      <c r="J349" s="218">
        <v>46005.878472222219</v>
      </c>
      <c r="K349" s="223">
        <f t="shared" si="305"/>
        <v>0.68263888889487134</v>
      </c>
      <c r="L349" s="222">
        <v>4.8611111109494232E-2</v>
      </c>
      <c r="M349" s="189">
        <f t="shared" si="306"/>
        <v>0.63402777778537711</v>
      </c>
      <c r="N349" s="189">
        <f t="shared" si="307"/>
        <v>0.70833333332848269</v>
      </c>
      <c r="O349" s="190">
        <f t="shared" si="308"/>
        <v>40.219058049901292</v>
      </c>
      <c r="P349" s="190">
        <f t="shared" si="309"/>
        <v>37.355035604962559</v>
      </c>
      <c r="Q349" s="191">
        <f t="shared" si="310"/>
        <v>36.000000000246523</v>
      </c>
      <c r="R349" s="192" t="s">
        <v>71</v>
      </c>
      <c r="S349" s="193">
        <v>126</v>
      </c>
      <c r="T349" s="194">
        <v>2</v>
      </c>
      <c r="U349" s="195">
        <v>171</v>
      </c>
      <c r="V349" s="196">
        <v>23</v>
      </c>
      <c r="W349" s="219">
        <v>0</v>
      </c>
      <c r="X349" s="220">
        <v>0</v>
      </c>
      <c r="Y349" s="199">
        <f t="shared" si="311"/>
        <v>322</v>
      </c>
      <c r="Z349" s="200">
        <f t="shared" si="312"/>
        <v>516</v>
      </c>
      <c r="AA349" s="193">
        <v>104</v>
      </c>
      <c r="AB349" s="194">
        <v>17</v>
      </c>
      <c r="AC349" s="195">
        <v>140</v>
      </c>
      <c r="AD349" s="201">
        <v>24</v>
      </c>
      <c r="AE349" s="221">
        <v>0</v>
      </c>
      <c r="AF349" s="220">
        <v>5</v>
      </c>
      <c r="AG349" s="199">
        <f t="shared" si="313"/>
        <v>290</v>
      </c>
      <c r="AH349" s="200">
        <f t="shared" si="314"/>
        <v>459</v>
      </c>
      <c r="AI349" s="203">
        <f t="shared" si="296"/>
        <v>612</v>
      </c>
      <c r="AJ349" s="204">
        <f t="shared" si="296"/>
        <v>975</v>
      </c>
      <c r="AK349" s="193">
        <v>0</v>
      </c>
      <c r="AL349" s="194">
        <v>0</v>
      </c>
      <c r="AM349" s="195">
        <v>0</v>
      </c>
      <c r="AN349" s="196">
        <v>0</v>
      </c>
      <c r="AO349" s="219">
        <v>0</v>
      </c>
      <c r="AP349" s="220">
        <v>0</v>
      </c>
      <c r="AQ349" s="205">
        <f t="shared" si="315"/>
        <v>0</v>
      </c>
      <c r="AR349" s="206">
        <f t="shared" si="316"/>
        <v>0</v>
      </c>
      <c r="AS349" s="193">
        <v>0</v>
      </c>
      <c r="AT349" s="194">
        <v>0</v>
      </c>
      <c r="AU349" s="195">
        <v>0</v>
      </c>
      <c r="AV349" s="196">
        <v>0</v>
      </c>
      <c r="AW349" s="219">
        <v>0</v>
      </c>
      <c r="AX349" s="220">
        <v>0</v>
      </c>
      <c r="AY349" s="205">
        <f t="shared" si="317"/>
        <v>0</v>
      </c>
      <c r="AZ349" s="206">
        <f t="shared" si="318"/>
        <v>0</v>
      </c>
      <c r="BA349" s="207">
        <f t="shared" si="301"/>
        <v>0</v>
      </c>
      <c r="BB349" s="204">
        <f t="shared" si="301"/>
        <v>0</v>
      </c>
      <c r="BC349" s="208">
        <f t="shared" si="302"/>
        <v>322</v>
      </c>
      <c r="BD349" s="209">
        <f t="shared" si="302"/>
        <v>516</v>
      </c>
      <c r="BE349" s="210">
        <f t="shared" si="303"/>
        <v>290</v>
      </c>
      <c r="BF349" s="211">
        <f t="shared" si="303"/>
        <v>459</v>
      </c>
      <c r="BG349" s="212">
        <f t="shared" si="304"/>
        <v>612</v>
      </c>
      <c r="BH349" s="213">
        <f t="shared" si="304"/>
        <v>975</v>
      </c>
    </row>
    <row r="350" spans="1:60" ht="21" x14ac:dyDescent="0.3">
      <c r="A350" s="214" t="s">
        <v>1302</v>
      </c>
      <c r="B350" s="306">
        <v>8</v>
      </c>
      <c r="C350" s="180">
        <v>12</v>
      </c>
      <c r="D350" s="215" t="s">
        <v>72</v>
      </c>
      <c r="E350" s="182" t="s">
        <v>1351</v>
      </c>
      <c r="F350" s="183" t="s">
        <v>1305</v>
      </c>
      <c r="G350" s="216" t="s">
        <v>1352</v>
      </c>
      <c r="H350" s="217" t="s">
        <v>1353</v>
      </c>
      <c r="I350" s="217" t="s">
        <v>1354</v>
      </c>
      <c r="J350" s="218">
        <v>46006.020833333336</v>
      </c>
      <c r="K350" s="223">
        <f t="shared" si="305"/>
        <v>0.49444444444816327</v>
      </c>
      <c r="L350" s="222">
        <v>0</v>
      </c>
      <c r="M350" s="189">
        <f t="shared" si="306"/>
        <v>0.49444444444816327</v>
      </c>
      <c r="N350" s="189">
        <f t="shared" si="307"/>
        <v>0.61805555555474712</v>
      </c>
      <c r="O350" s="190">
        <f t="shared" si="308"/>
        <v>39.438202246894384</v>
      </c>
      <c r="P350" s="190">
        <f t="shared" si="309"/>
        <v>39.438202246894384</v>
      </c>
      <c r="Q350" s="191">
        <f t="shared" si="310"/>
        <v>31.550561797794078</v>
      </c>
      <c r="R350" s="192" t="s">
        <v>57</v>
      </c>
      <c r="S350" s="193">
        <v>90</v>
      </c>
      <c r="T350" s="194">
        <v>1</v>
      </c>
      <c r="U350" s="195">
        <v>27</v>
      </c>
      <c r="V350" s="196">
        <v>2</v>
      </c>
      <c r="W350" s="219">
        <v>0</v>
      </c>
      <c r="X350" s="220">
        <v>0</v>
      </c>
      <c r="Y350" s="199">
        <f t="shared" si="311"/>
        <v>120</v>
      </c>
      <c r="Z350" s="200">
        <f t="shared" si="312"/>
        <v>149</v>
      </c>
      <c r="AA350" s="193">
        <v>104</v>
      </c>
      <c r="AB350" s="194">
        <v>100</v>
      </c>
      <c r="AC350" s="195">
        <v>77</v>
      </c>
      <c r="AD350" s="201">
        <v>67</v>
      </c>
      <c r="AE350" s="221">
        <v>0</v>
      </c>
      <c r="AF350" s="220">
        <v>0</v>
      </c>
      <c r="AG350" s="199">
        <f t="shared" si="313"/>
        <v>348</v>
      </c>
      <c r="AH350" s="200">
        <f t="shared" si="314"/>
        <v>492</v>
      </c>
      <c r="AI350" s="203">
        <f t="shared" si="296"/>
        <v>468</v>
      </c>
      <c r="AJ350" s="204">
        <f t="shared" si="296"/>
        <v>641</v>
      </c>
      <c r="AK350" s="193">
        <v>0</v>
      </c>
      <c r="AL350" s="194">
        <v>0</v>
      </c>
      <c r="AM350" s="195">
        <v>0</v>
      </c>
      <c r="AN350" s="196">
        <v>0</v>
      </c>
      <c r="AO350" s="219">
        <v>0</v>
      </c>
      <c r="AP350" s="220">
        <v>0</v>
      </c>
      <c r="AQ350" s="205">
        <f t="shared" si="315"/>
        <v>0</v>
      </c>
      <c r="AR350" s="206">
        <f t="shared" si="316"/>
        <v>0</v>
      </c>
      <c r="AS350" s="193">
        <v>0</v>
      </c>
      <c r="AT350" s="194">
        <v>0</v>
      </c>
      <c r="AU350" s="195">
        <v>0</v>
      </c>
      <c r="AV350" s="196">
        <v>0</v>
      </c>
      <c r="AW350" s="219">
        <v>0</v>
      </c>
      <c r="AX350" s="220">
        <v>0</v>
      </c>
      <c r="AY350" s="205">
        <f t="shared" si="317"/>
        <v>0</v>
      </c>
      <c r="AZ350" s="206">
        <f t="shared" si="318"/>
        <v>0</v>
      </c>
      <c r="BA350" s="207">
        <f t="shared" si="301"/>
        <v>0</v>
      </c>
      <c r="BB350" s="204">
        <f t="shared" si="301"/>
        <v>0</v>
      </c>
      <c r="BC350" s="208">
        <f t="shared" si="302"/>
        <v>120</v>
      </c>
      <c r="BD350" s="209">
        <f t="shared" si="302"/>
        <v>149</v>
      </c>
      <c r="BE350" s="210">
        <f t="shared" si="303"/>
        <v>348</v>
      </c>
      <c r="BF350" s="211">
        <f t="shared" si="303"/>
        <v>492</v>
      </c>
      <c r="BG350" s="212">
        <f t="shared" si="304"/>
        <v>468</v>
      </c>
      <c r="BH350" s="213">
        <f t="shared" si="304"/>
        <v>641</v>
      </c>
    </row>
    <row r="351" spans="1:60" ht="21" x14ac:dyDescent="0.3">
      <c r="A351" s="214" t="s">
        <v>1302</v>
      </c>
      <c r="B351" s="306">
        <v>9</v>
      </c>
      <c r="C351" s="180">
        <v>13</v>
      </c>
      <c r="D351" s="215" t="s">
        <v>51</v>
      </c>
      <c r="E351" s="182" t="s">
        <v>1355</v>
      </c>
      <c r="F351" s="183" t="s">
        <v>1263</v>
      </c>
      <c r="G351" s="216" t="s">
        <v>1356</v>
      </c>
      <c r="H351" s="217" t="s">
        <v>1357</v>
      </c>
      <c r="I351" s="217" t="s">
        <v>1358</v>
      </c>
      <c r="J351" s="218">
        <v>46009.083333333336</v>
      </c>
      <c r="K351" s="223">
        <f t="shared" si="305"/>
        <v>0.5743055555576575</v>
      </c>
      <c r="L351" s="222">
        <v>0</v>
      </c>
      <c r="M351" s="189">
        <f t="shared" si="306"/>
        <v>0.5743055555576575</v>
      </c>
      <c r="N351" s="189">
        <f t="shared" si="307"/>
        <v>0.60763888889050577</v>
      </c>
      <c r="O351" s="190">
        <f t="shared" si="308"/>
        <v>47.013301088098792</v>
      </c>
      <c r="P351" s="190">
        <f t="shared" si="309"/>
        <v>47.013301088098792</v>
      </c>
      <c r="Q351" s="191">
        <f t="shared" si="310"/>
        <v>44.43428571416748</v>
      </c>
      <c r="R351" s="192" t="s">
        <v>57</v>
      </c>
      <c r="S351" s="193">
        <v>146</v>
      </c>
      <c r="T351" s="194">
        <v>0</v>
      </c>
      <c r="U351" s="195">
        <v>158</v>
      </c>
      <c r="V351" s="196">
        <v>30</v>
      </c>
      <c r="W351" s="219">
        <v>0</v>
      </c>
      <c r="X351" s="220">
        <v>0</v>
      </c>
      <c r="Y351" s="199">
        <f t="shared" si="311"/>
        <v>334</v>
      </c>
      <c r="Z351" s="200">
        <f t="shared" si="312"/>
        <v>522</v>
      </c>
      <c r="AA351" s="193">
        <v>144</v>
      </c>
      <c r="AB351" s="194">
        <v>30</v>
      </c>
      <c r="AC351" s="195">
        <v>132</v>
      </c>
      <c r="AD351" s="201">
        <v>0</v>
      </c>
      <c r="AE351" s="221">
        <v>0</v>
      </c>
      <c r="AF351" s="220">
        <v>8</v>
      </c>
      <c r="AG351" s="199">
        <f t="shared" si="313"/>
        <v>314</v>
      </c>
      <c r="AH351" s="200">
        <f t="shared" si="314"/>
        <v>454</v>
      </c>
      <c r="AI351" s="203">
        <f t="shared" si="296"/>
        <v>648</v>
      </c>
      <c r="AJ351" s="204">
        <f t="shared" si="296"/>
        <v>976</v>
      </c>
      <c r="AK351" s="193">
        <v>0</v>
      </c>
      <c r="AL351" s="194">
        <v>0</v>
      </c>
      <c r="AM351" s="195">
        <v>0</v>
      </c>
      <c r="AN351" s="196">
        <v>0</v>
      </c>
      <c r="AO351" s="219">
        <v>0</v>
      </c>
      <c r="AP351" s="220">
        <v>0</v>
      </c>
      <c r="AQ351" s="205">
        <f t="shared" si="315"/>
        <v>0</v>
      </c>
      <c r="AR351" s="206">
        <f t="shared" si="316"/>
        <v>0</v>
      </c>
      <c r="AS351" s="193">
        <v>0</v>
      </c>
      <c r="AT351" s="194">
        <v>0</v>
      </c>
      <c r="AU351" s="195">
        <v>0</v>
      </c>
      <c r="AV351" s="196">
        <v>0</v>
      </c>
      <c r="AW351" s="219">
        <v>0</v>
      </c>
      <c r="AX351" s="220">
        <v>0</v>
      </c>
      <c r="AY351" s="205">
        <f t="shared" si="317"/>
        <v>0</v>
      </c>
      <c r="AZ351" s="206">
        <f t="shared" si="318"/>
        <v>0</v>
      </c>
      <c r="BA351" s="207">
        <f t="shared" si="301"/>
        <v>0</v>
      </c>
      <c r="BB351" s="204">
        <f t="shared" si="301"/>
        <v>0</v>
      </c>
      <c r="BC351" s="208">
        <f t="shared" si="302"/>
        <v>334</v>
      </c>
      <c r="BD351" s="209">
        <f t="shared" si="302"/>
        <v>522</v>
      </c>
      <c r="BE351" s="210">
        <f t="shared" si="303"/>
        <v>314</v>
      </c>
      <c r="BF351" s="211">
        <f t="shared" si="303"/>
        <v>454</v>
      </c>
      <c r="BG351" s="212">
        <f t="shared" si="304"/>
        <v>648</v>
      </c>
      <c r="BH351" s="213">
        <f t="shared" si="304"/>
        <v>976</v>
      </c>
    </row>
    <row r="352" spans="1:60" ht="21" x14ac:dyDescent="0.3">
      <c r="A352" s="214" t="s">
        <v>1302</v>
      </c>
      <c r="B352" s="306">
        <v>10</v>
      </c>
      <c r="C352" s="180">
        <v>14</v>
      </c>
      <c r="D352" s="215" t="s">
        <v>231</v>
      </c>
      <c r="E352" s="182" t="s">
        <v>1359</v>
      </c>
      <c r="F352" s="183" t="s">
        <v>1155</v>
      </c>
      <c r="G352" s="216" t="s">
        <v>1360</v>
      </c>
      <c r="H352" s="217" t="s">
        <v>1361</v>
      </c>
      <c r="I352" s="217" t="s">
        <v>1362</v>
      </c>
      <c r="J352" s="218">
        <v>46010.4375</v>
      </c>
      <c r="K352" s="223">
        <f t="shared" si="305"/>
        <v>0.47986111111094942</v>
      </c>
      <c r="L352" s="222">
        <v>0</v>
      </c>
      <c r="M352" s="189">
        <f t="shared" si="306"/>
        <v>0.47986111111094942</v>
      </c>
      <c r="N352" s="189">
        <f t="shared" si="307"/>
        <v>0.60416666666424135</v>
      </c>
      <c r="O352" s="190">
        <f t="shared" si="308"/>
        <v>45.151953690319118</v>
      </c>
      <c r="P352" s="190">
        <f t="shared" si="309"/>
        <v>45.151953690319118</v>
      </c>
      <c r="Q352" s="191">
        <f t="shared" si="310"/>
        <v>35.862068965661202</v>
      </c>
      <c r="R352" s="192" t="s">
        <v>57</v>
      </c>
      <c r="S352" s="193">
        <v>113</v>
      </c>
      <c r="T352" s="194">
        <v>8</v>
      </c>
      <c r="U352" s="195">
        <v>108</v>
      </c>
      <c r="V352" s="196">
        <v>1</v>
      </c>
      <c r="W352" s="219">
        <v>0</v>
      </c>
      <c r="X352" s="220">
        <v>0</v>
      </c>
      <c r="Y352" s="199">
        <f t="shared" si="311"/>
        <v>230</v>
      </c>
      <c r="Z352" s="200">
        <f t="shared" si="312"/>
        <v>339</v>
      </c>
      <c r="AA352" s="193">
        <v>138</v>
      </c>
      <c r="AB352" s="194">
        <v>14</v>
      </c>
      <c r="AC352" s="195">
        <v>95</v>
      </c>
      <c r="AD352" s="201">
        <v>0</v>
      </c>
      <c r="AE352" s="221">
        <v>0</v>
      </c>
      <c r="AF352" s="220">
        <v>9</v>
      </c>
      <c r="AG352" s="199">
        <f t="shared" si="313"/>
        <v>256</v>
      </c>
      <c r="AH352" s="200">
        <f t="shared" si="314"/>
        <v>360</v>
      </c>
      <c r="AI352" s="203">
        <f t="shared" si="296"/>
        <v>486</v>
      </c>
      <c r="AJ352" s="204">
        <f t="shared" si="296"/>
        <v>699</v>
      </c>
      <c r="AK352" s="193">
        <v>0</v>
      </c>
      <c r="AL352" s="194">
        <v>0</v>
      </c>
      <c r="AM352" s="195">
        <v>17</v>
      </c>
      <c r="AN352" s="196">
        <v>0</v>
      </c>
      <c r="AO352" s="219">
        <v>0</v>
      </c>
      <c r="AP352" s="220">
        <v>0</v>
      </c>
      <c r="AQ352" s="205">
        <f t="shared" si="315"/>
        <v>17</v>
      </c>
      <c r="AR352" s="206">
        <f t="shared" si="316"/>
        <v>34</v>
      </c>
      <c r="AS352" s="193">
        <v>0</v>
      </c>
      <c r="AT352" s="194">
        <v>0</v>
      </c>
      <c r="AU352" s="195">
        <v>17</v>
      </c>
      <c r="AV352" s="196">
        <v>0</v>
      </c>
      <c r="AW352" s="219">
        <v>0</v>
      </c>
      <c r="AX352" s="220">
        <v>0</v>
      </c>
      <c r="AY352" s="205">
        <f t="shared" si="317"/>
        <v>17</v>
      </c>
      <c r="AZ352" s="206">
        <f t="shared" si="318"/>
        <v>34</v>
      </c>
      <c r="BA352" s="207">
        <f t="shared" si="301"/>
        <v>34</v>
      </c>
      <c r="BB352" s="204">
        <f t="shared" si="301"/>
        <v>68</v>
      </c>
      <c r="BC352" s="208">
        <f t="shared" si="302"/>
        <v>247</v>
      </c>
      <c r="BD352" s="209">
        <f t="shared" si="302"/>
        <v>373</v>
      </c>
      <c r="BE352" s="210">
        <f t="shared" si="303"/>
        <v>273</v>
      </c>
      <c r="BF352" s="211">
        <f t="shared" si="303"/>
        <v>394</v>
      </c>
      <c r="BG352" s="212">
        <f t="shared" si="304"/>
        <v>520</v>
      </c>
      <c r="BH352" s="213">
        <f t="shared" si="304"/>
        <v>767</v>
      </c>
    </row>
    <row r="353" spans="1:60" ht="21" x14ac:dyDescent="0.3">
      <c r="A353" s="214" t="s">
        <v>1302</v>
      </c>
      <c r="B353" s="306">
        <v>5</v>
      </c>
      <c r="C353" s="180">
        <v>15</v>
      </c>
      <c r="D353" s="215" t="s">
        <v>65</v>
      </c>
      <c r="E353" s="182" t="s">
        <v>1363</v>
      </c>
      <c r="F353" s="183" t="s">
        <v>1364</v>
      </c>
      <c r="G353" s="216" t="s">
        <v>1365</v>
      </c>
      <c r="H353" s="217" t="s">
        <v>1366</v>
      </c>
      <c r="I353" s="217" t="s">
        <v>1367</v>
      </c>
      <c r="J353" s="218">
        <v>46011.770833333336</v>
      </c>
      <c r="K353" s="223">
        <f t="shared" si="305"/>
        <v>0.59722222222626442</v>
      </c>
      <c r="L353" s="222">
        <v>0</v>
      </c>
      <c r="M353" s="189">
        <f t="shared" si="306"/>
        <v>0.59722222222626442</v>
      </c>
      <c r="N353" s="189">
        <f t="shared" si="307"/>
        <v>0.62152777778101154</v>
      </c>
      <c r="O353" s="190">
        <f t="shared" si="308"/>
        <v>42.837209302035639</v>
      </c>
      <c r="P353" s="190">
        <f t="shared" si="309"/>
        <v>42.837209302035639</v>
      </c>
      <c r="Q353" s="191">
        <f t="shared" si="310"/>
        <v>41.162011172970196</v>
      </c>
      <c r="R353" s="192" t="s">
        <v>71</v>
      </c>
      <c r="S353" s="193">
        <v>124</v>
      </c>
      <c r="T353" s="194">
        <v>2</v>
      </c>
      <c r="U353" s="195">
        <v>157</v>
      </c>
      <c r="V353" s="196">
        <v>33</v>
      </c>
      <c r="W353" s="219">
        <v>0</v>
      </c>
      <c r="X353" s="220">
        <v>0</v>
      </c>
      <c r="Y353" s="199">
        <f t="shared" si="311"/>
        <v>316</v>
      </c>
      <c r="Z353" s="200">
        <f t="shared" si="312"/>
        <v>506</v>
      </c>
      <c r="AA353" s="193">
        <v>104</v>
      </c>
      <c r="AB353" s="194">
        <v>14</v>
      </c>
      <c r="AC353" s="195">
        <v>136</v>
      </c>
      <c r="AD353" s="201">
        <v>40</v>
      </c>
      <c r="AE353" s="221">
        <v>0</v>
      </c>
      <c r="AF353" s="220">
        <v>4</v>
      </c>
      <c r="AG353" s="199">
        <f t="shared" si="313"/>
        <v>298</v>
      </c>
      <c r="AH353" s="200">
        <f t="shared" si="314"/>
        <v>478</v>
      </c>
      <c r="AI353" s="203">
        <f t="shared" si="296"/>
        <v>614</v>
      </c>
      <c r="AJ353" s="204">
        <f t="shared" si="296"/>
        <v>984</v>
      </c>
      <c r="AK353" s="193">
        <v>0</v>
      </c>
      <c r="AL353" s="194">
        <v>0</v>
      </c>
      <c r="AM353" s="195">
        <v>0</v>
      </c>
      <c r="AN353" s="196">
        <v>0</v>
      </c>
      <c r="AO353" s="219">
        <v>0</v>
      </c>
      <c r="AP353" s="220">
        <v>0</v>
      </c>
      <c r="AQ353" s="205">
        <f t="shared" si="315"/>
        <v>0</v>
      </c>
      <c r="AR353" s="206">
        <f t="shared" si="316"/>
        <v>0</v>
      </c>
      <c r="AS353" s="193">
        <v>0</v>
      </c>
      <c r="AT353" s="194">
        <v>0</v>
      </c>
      <c r="AU353" s="195">
        <v>0</v>
      </c>
      <c r="AV353" s="196">
        <v>0</v>
      </c>
      <c r="AW353" s="219">
        <v>0</v>
      </c>
      <c r="AX353" s="220">
        <v>0</v>
      </c>
      <c r="AY353" s="205">
        <f t="shared" si="317"/>
        <v>0</v>
      </c>
      <c r="AZ353" s="206">
        <f t="shared" si="318"/>
        <v>0</v>
      </c>
      <c r="BA353" s="207">
        <f t="shared" si="301"/>
        <v>0</v>
      </c>
      <c r="BB353" s="204">
        <f t="shared" si="301"/>
        <v>0</v>
      </c>
      <c r="BC353" s="208">
        <f t="shared" si="302"/>
        <v>316</v>
      </c>
      <c r="BD353" s="209">
        <f t="shared" si="302"/>
        <v>506</v>
      </c>
      <c r="BE353" s="210">
        <f t="shared" si="303"/>
        <v>298</v>
      </c>
      <c r="BF353" s="211">
        <f t="shared" si="303"/>
        <v>478</v>
      </c>
      <c r="BG353" s="212">
        <f t="shared" si="304"/>
        <v>614</v>
      </c>
      <c r="BH353" s="213">
        <f t="shared" si="304"/>
        <v>984</v>
      </c>
    </row>
    <row r="354" spans="1:60" ht="21" x14ac:dyDescent="0.3">
      <c r="A354" s="214" t="s">
        <v>1302</v>
      </c>
      <c r="B354" s="306">
        <v>6</v>
      </c>
      <c r="C354" s="180">
        <v>16</v>
      </c>
      <c r="D354" s="215" t="s">
        <v>79</v>
      </c>
      <c r="E354" s="182" t="s">
        <v>1368</v>
      </c>
      <c r="F354" s="183" t="s">
        <v>1289</v>
      </c>
      <c r="G354" s="216" t="s">
        <v>1369</v>
      </c>
      <c r="H354" s="217" t="s">
        <v>1370</v>
      </c>
      <c r="I354" s="217" t="s">
        <v>1371</v>
      </c>
      <c r="J354" s="218">
        <v>46013.666666666664</v>
      </c>
      <c r="K354" s="223">
        <f t="shared" si="305"/>
        <v>0.58333333332848269</v>
      </c>
      <c r="L354" s="222">
        <v>0</v>
      </c>
      <c r="M354" s="189">
        <f t="shared" si="306"/>
        <v>0.58333333332848269</v>
      </c>
      <c r="N354" s="189">
        <f t="shared" si="307"/>
        <v>0.60416666666424135</v>
      </c>
      <c r="O354" s="190">
        <f t="shared" si="308"/>
        <v>44.285714286082538</v>
      </c>
      <c r="P354" s="190">
        <f t="shared" si="309"/>
        <v>44.285714286082538</v>
      </c>
      <c r="Q354" s="191">
        <f t="shared" si="310"/>
        <v>42.75862068982682</v>
      </c>
      <c r="R354" s="192" t="s">
        <v>71</v>
      </c>
      <c r="S354" s="193">
        <v>123</v>
      </c>
      <c r="T354" s="194">
        <v>2</v>
      </c>
      <c r="U354" s="195">
        <v>175</v>
      </c>
      <c r="V354" s="196">
        <v>24</v>
      </c>
      <c r="W354" s="219">
        <v>0</v>
      </c>
      <c r="X354" s="220">
        <v>1</v>
      </c>
      <c r="Y354" s="199">
        <f t="shared" si="311"/>
        <v>325</v>
      </c>
      <c r="Z354" s="200">
        <f t="shared" si="312"/>
        <v>525</v>
      </c>
      <c r="AA354" s="193">
        <v>102</v>
      </c>
      <c r="AB354" s="194">
        <v>10</v>
      </c>
      <c r="AC354" s="195">
        <v>136</v>
      </c>
      <c r="AD354" s="201">
        <v>42</v>
      </c>
      <c r="AE354" s="221">
        <v>0</v>
      </c>
      <c r="AF354" s="220">
        <v>5</v>
      </c>
      <c r="AG354" s="199">
        <f t="shared" si="313"/>
        <v>295</v>
      </c>
      <c r="AH354" s="200">
        <f t="shared" si="314"/>
        <v>478</v>
      </c>
      <c r="AI354" s="203">
        <f t="shared" ref="AI354:AJ381" si="319">Y354+AG354</f>
        <v>620</v>
      </c>
      <c r="AJ354" s="204">
        <f t="shared" si="319"/>
        <v>1003</v>
      </c>
      <c r="AK354" s="193">
        <v>0</v>
      </c>
      <c r="AL354" s="194">
        <v>0</v>
      </c>
      <c r="AM354" s="195">
        <v>0</v>
      </c>
      <c r="AN354" s="196">
        <v>0</v>
      </c>
      <c r="AO354" s="219">
        <v>0</v>
      </c>
      <c r="AP354" s="220">
        <v>0</v>
      </c>
      <c r="AQ354" s="205">
        <f t="shared" si="315"/>
        <v>0</v>
      </c>
      <c r="AR354" s="206">
        <f t="shared" si="316"/>
        <v>0</v>
      </c>
      <c r="AS354" s="193">
        <v>0</v>
      </c>
      <c r="AT354" s="194">
        <v>0</v>
      </c>
      <c r="AU354" s="195">
        <v>0</v>
      </c>
      <c r="AV354" s="196">
        <v>0</v>
      </c>
      <c r="AW354" s="219">
        <v>0</v>
      </c>
      <c r="AX354" s="220">
        <v>0</v>
      </c>
      <c r="AY354" s="205">
        <f t="shared" si="317"/>
        <v>0</v>
      </c>
      <c r="AZ354" s="206">
        <f t="shared" si="318"/>
        <v>0</v>
      </c>
      <c r="BA354" s="207">
        <f t="shared" ref="BA354:BB381" si="320">AQ354+AY354</f>
        <v>0</v>
      </c>
      <c r="BB354" s="204">
        <f t="shared" si="320"/>
        <v>0</v>
      </c>
      <c r="BC354" s="208">
        <f t="shared" ref="BC354:BD381" si="321">Y354+AQ354</f>
        <v>325</v>
      </c>
      <c r="BD354" s="209">
        <f t="shared" si="321"/>
        <v>525</v>
      </c>
      <c r="BE354" s="210">
        <f t="shared" ref="BE354:BF381" si="322">AG354+AY354</f>
        <v>295</v>
      </c>
      <c r="BF354" s="211">
        <f t="shared" si="322"/>
        <v>478</v>
      </c>
      <c r="BG354" s="212">
        <f t="shared" ref="BG354:BH381" si="323">BC354+BE354</f>
        <v>620</v>
      </c>
      <c r="BH354" s="213">
        <f t="shared" si="323"/>
        <v>1003</v>
      </c>
    </row>
    <row r="355" spans="1:60" ht="21" x14ac:dyDescent="0.3">
      <c r="A355" s="214" t="s">
        <v>1302</v>
      </c>
      <c r="B355" s="306">
        <v>11</v>
      </c>
      <c r="C355" s="180">
        <v>17</v>
      </c>
      <c r="D355" s="215" t="s">
        <v>58</v>
      </c>
      <c r="E355" s="182" t="s">
        <v>1372</v>
      </c>
      <c r="F355" s="183" t="s">
        <v>1207</v>
      </c>
      <c r="G355" s="216" t="s">
        <v>1373</v>
      </c>
      <c r="H355" s="217" t="s">
        <v>1374</v>
      </c>
      <c r="I355" s="217" t="s">
        <v>1375</v>
      </c>
      <c r="J355" s="218">
        <v>46014.079861111109</v>
      </c>
      <c r="K355" s="223">
        <f t="shared" si="305"/>
        <v>0.91388888889196096</v>
      </c>
      <c r="L355" s="222">
        <v>0</v>
      </c>
      <c r="M355" s="189">
        <f t="shared" si="306"/>
        <v>0.91388888889196096</v>
      </c>
      <c r="N355" s="189">
        <f t="shared" si="307"/>
        <v>0.94791666666424135</v>
      </c>
      <c r="O355" s="190">
        <f t="shared" si="308"/>
        <v>46.276595744525288</v>
      </c>
      <c r="P355" s="190">
        <f t="shared" si="309"/>
        <v>46.276595744525288</v>
      </c>
      <c r="Q355" s="191">
        <f t="shared" si="310"/>
        <v>44.615384615498762</v>
      </c>
      <c r="R355" s="192" t="s">
        <v>57</v>
      </c>
      <c r="S355" s="193">
        <v>200</v>
      </c>
      <c r="T355" s="194">
        <v>24</v>
      </c>
      <c r="U355" s="195">
        <v>215</v>
      </c>
      <c r="V355" s="196">
        <v>111</v>
      </c>
      <c r="W355" s="219">
        <v>0</v>
      </c>
      <c r="X355" s="220">
        <v>0</v>
      </c>
      <c r="Y355" s="199">
        <f t="shared" si="311"/>
        <v>550</v>
      </c>
      <c r="Z355" s="200">
        <f t="shared" si="312"/>
        <v>876</v>
      </c>
      <c r="AA355" s="193">
        <v>188</v>
      </c>
      <c r="AB355" s="194">
        <v>48</v>
      </c>
      <c r="AC355" s="195">
        <v>182</v>
      </c>
      <c r="AD355" s="201">
        <v>36</v>
      </c>
      <c r="AE355" s="221">
        <v>0</v>
      </c>
      <c r="AF355" s="220">
        <v>11</v>
      </c>
      <c r="AG355" s="199">
        <f t="shared" si="313"/>
        <v>465</v>
      </c>
      <c r="AH355" s="200">
        <f t="shared" si="314"/>
        <v>694</v>
      </c>
      <c r="AI355" s="203">
        <f t="shared" si="319"/>
        <v>1015</v>
      </c>
      <c r="AJ355" s="204">
        <f t="shared" si="319"/>
        <v>1570</v>
      </c>
      <c r="AK355" s="193">
        <v>0</v>
      </c>
      <c r="AL355" s="194">
        <v>0</v>
      </c>
      <c r="AM355" s="195">
        <v>0</v>
      </c>
      <c r="AN355" s="196">
        <v>0</v>
      </c>
      <c r="AO355" s="219">
        <v>0</v>
      </c>
      <c r="AP355" s="220">
        <v>0</v>
      </c>
      <c r="AQ355" s="205">
        <f t="shared" si="315"/>
        <v>0</v>
      </c>
      <c r="AR355" s="206">
        <f t="shared" si="316"/>
        <v>0</v>
      </c>
      <c r="AS355" s="193">
        <v>0</v>
      </c>
      <c r="AT355" s="194">
        <v>0</v>
      </c>
      <c r="AU355" s="195">
        <v>0</v>
      </c>
      <c r="AV355" s="196">
        <v>0</v>
      </c>
      <c r="AW355" s="219">
        <v>0</v>
      </c>
      <c r="AX355" s="220">
        <v>0</v>
      </c>
      <c r="AY355" s="205">
        <f t="shared" si="317"/>
        <v>0</v>
      </c>
      <c r="AZ355" s="206">
        <f t="shared" si="318"/>
        <v>0</v>
      </c>
      <c r="BA355" s="207">
        <f t="shared" si="320"/>
        <v>0</v>
      </c>
      <c r="BB355" s="204">
        <f t="shared" si="320"/>
        <v>0</v>
      </c>
      <c r="BC355" s="208">
        <f t="shared" si="321"/>
        <v>550</v>
      </c>
      <c r="BD355" s="209">
        <f t="shared" si="321"/>
        <v>876</v>
      </c>
      <c r="BE355" s="210">
        <f t="shared" si="322"/>
        <v>465</v>
      </c>
      <c r="BF355" s="211">
        <f t="shared" si="322"/>
        <v>694</v>
      </c>
      <c r="BG355" s="212">
        <f t="shared" si="323"/>
        <v>1015</v>
      </c>
      <c r="BH355" s="213">
        <f t="shared" si="323"/>
        <v>1570</v>
      </c>
    </row>
    <row r="356" spans="1:60" ht="21" x14ac:dyDescent="0.3">
      <c r="A356" s="214" t="s">
        <v>1302</v>
      </c>
      <c r="B356" s="306">
        <v>12</v>
      </c>
      <c r="C356" s="180">
        <v>18</v>
      </c>
      <c r="D356" s="215" t="s">
        <v>72</v>
      </c>
      <c r="E356" s="182" t="s">
        <v>1376</v>
      </c>
      <c r="F356" s="183" t="s">
        <v>1377</v>
      </c>
      <c r="G356" s="216" t="s">
        <v>1378</v>
      </c>
      <c r="H356" s="217" t="s">
        <v>1379</v>
      </c>
      <c r="I356" s="217" t="s">
        <v>1380</v>
      </c>
      <c r="J356" s="218">
        <v>46014.833333333336</v>
      </c>
      <c r="K356" s="223">
        <f t="shared" si="305"/>
        <v>0.60347222222480923</v>
      </c>
      <c r="L356" s="222">
        <v>0</v>
      </c>
      <c r="M356" s="189">
        <f t="shared" si="306"/>
        <v>0.60347222222480923</v>
      </c>
      <c r="N356" s="189">
        <f t="shared" si="307"/>
        <v>0.72569444444525288</v>
      </c>
      <c r="O356" s="190">
        <f t="shared" si="308"/>
        <v>48.26237054064466</v>
      </c>
      <c r="P356" s="190">
        <f t="shared" si="309"/>
        <v>48.26237054064466</v>
      </c>
      <c r="Q356" s="191">
        <f t="shared" si="310"/>
        <v>40.133971291821318</v>
      </c>
      <c r="R356" s="192" t="s">
        <v>57</v>
      </c>
      <c r="S356" s="193">
        <v>76</v>
      </c>
      <c r="T356" s="194">
        <v>2</v>
      </c>
      <c r="U356" s="195">
        <v>17</v>
      </c>
      <c r="V356" s="196">
        <v>101</v>
      </c>
      <c r="W356" s="219">
        <v>0</v>
      </c>
      <c r="X356" s="220">
        <v>0</v>
      </c>
      <c r="Y356" s="199">
        <f t="shared" si="311"/>
        <v>196</v>
      </c>
      <c r="Z356" s="200">
        <f t="shared" si="312"/>
        <v>314</v>
      </c>
      <c r="AA356" s="193">
        <v>131</v>
      </c>
      <c r="AB356" s="194">
        <v>138</v>
      </c>
      <c r="AC356" s="195">
        <v>104</v>
      </c>
      <c r="AD356" s="201">
        <v>130</v>
      </c>
      <c r="AE356" s="221">
        <v>0</v>
      </c>
      <c r="AF356" s="220">
        <v>0</v>
      </c>
      <c r="AG356" s="199">
        <f t="shared" si="313"/>
        <v>503</v>
      </c>
      <c r="AH356" s="200">
        <f t="shared" si="314"/>
        <v>737</v>
      </c>
      <c r="AI356" s="203">
        <f t="shared" si="319"/>
        <v>699</v>
      </c>
      <c r="AJ356" s="204">
        <f t="shared" si="319"/>
        <v>1051</v>
      </c>
      <c r="AK356" s="193">
        <v>0</v>
      </c>
      <c r="AL356" s="194">
        <v>0</v>
      </c>
      <c r="AM356" s="195">
        <v>0</v>
      </c>
      <c r="AN356" s="196">
        <v>0</v>
      </c>
      <c r="AO356" s="219">
        <v>0</v>
      </c>
      <c r="AP356" s="220">
        <v>0</v>
      </c>
      <c r="AQ356" s="205">
        <f t="shared" si="315"/>
        <v>0</v>
      </c>
      <c r="AR356" s="206">
        <f t="shared" si="316"/>
        <v>0</v>
      </c>
      <c r="AS356" s="193">
        <v>0</v>
      </c>
      <c r="AT356" s="194">
        <v>0</v>
      </c>
      <c r="AU356" s="195">
        <v>0</v>
      </c>
      <c r="AV356" s="196">
        <v>0</v>
      </c>
      <c r="AW356" s="219">
        <v>0</v>
      </c>
      <c r="AX356" s="220">
        <v>0</v>
      </c>
      <c r="AY356" s="205">
        <f t="shared" si="317"/>
        <v>0</v>
      </c>
      <c r="AZ356" s="206">
        <f t="shared" si="318"/>
        <v>0</v>
      </c>
      <c r="BA356" s="207">
        <f t="shared" si="320"/>
        <v>0</v>
      </c>
      <c r="BB356" s="204">
        <f t="shared" si="320"/>
        <v>0</v>
      </c>
      <c r="BC356" s="208">
        <f t="shared" si="321"/>
        <v>196</v>
      </c>
      <c r="BD356" s="209">
        <f t="shared" si="321"/>
        <v>314</v>
      </c>
      <c r="BE356" s="210">
        <f t="shared" si="322"/>
        <v>503</v>
      </c>
      <c r="BF356" s="211">
        <f t="shared" si="322"/>
        <v>737</v>
      </c>
      <c r="BG356" s="212">
        <f t="shared" si="323"/>
        <v>699</v>
      </c>
      <c r="BH356" s="213">
        <f t="shared" si="323"/>
        <v>1051</v>
      </c>
    </row>
    <row r="357" spans="1:60" ht="21" x14ac:dyDescent="0.3">
      <c r="A357" s="214" t="s">
        <v>1302</v>
      </c>
      <c r="B357" s="306">
        <v>13</v>
      </c>
      <c r="C357" s="180">
        <v>19</v>
      </c>
      <c r="D357" s="215" t="s">
        <v>51</v>
      </c>
      <c r="E357" s="182" t="s">
        <v>1381</v>
      </c>
      <c r="F357" s="183" t="s">
        <v>1289</v>
      </c>
      <c r="G357" s="216" t="s">
        <v>1382</v>
      </c>
      <c r="H357" s="217" t="s">
        <v>1383</v>
      </c>
      <c r="I357" s="217" t="s">
        <v>1384</v>
      </c>
      <c r="J357" s="218">
        <v>46016.875</v>
      </c>
      <c r="K357" s="223">
        <f t="shared" si="305"/>
        <v>0.65625</v>
      </c>
      <c r="L357" s="222">
        <v>0</v>
      </c>
      <c r="M357" s="189">
        <f t="shared" si="306"/>
        <v>0.65625</v>
      </c>
      <c r="N357" s="189">
        <f t="shared" si="307"/>
        <v>0.70833333333575865</v>
      </c>
      <c r="O357" s="190">
        <f t="shared" si="308"/>
        <v>44.126984126984127</v>
      </c>
      <c r="P357" s="190">
        <f t="shared" si="309"/>
        <v>44.126984126984127</v>
      </c>
      <c r="Q357" s="191">
        <f t="shared" si="310"/>
        <v>40.882352941036494</v>
      </c>
      <c r="R357" s="192" t="s">
        <v>57</v>
      </c>
      <c r="S357" s="193">
        <v>151</v>
      </c>
      <c r="T357" s="194">
        <v>35</v>
      </c>
      <c r="U357" s="195">
        <v>163</v>
      </c>
      <c r="V357" s="196">
        <v>25</v>
      </c>
      <c r="W357" s="219">
        <v>0</v>
      </c>
      <c r="X357" s="220">
        <v>1</v>
      </c>
      <c r="Y357" s="199">
        <f t="shared" si="311"/>
        <v>375</v>
      </c>
      <c r="Z357" s="200">
        <f t="shared" si="312"/>
        <v>564</v>
      </c>
      <c r="AA357" s="193">
        <v>142</v>
      </c>
      <c r="AB357" s="194">
        <v>0</v>
      </c>
      <c r="AC357" s="195">
        <v>131</v>
      </c>
      <c r="AD357" s="201">
        <v>41</v>
      </c>
      <c r="AE357" s="221">
        <v>0</v>
      </c>
      <c r="AF357" s="220">
        <v>6</v>
      </c>
      <c r="AG357" s="199">
        <f t="shared" si="313"/>
        <v>320</v>
      </c>
      <c r="AH357" s="200">
        <f t="shared" si="314"/>
        <v>498</v>
      </c>
      <c r="AI357" s="203">
        <f t="shared" si="319"/>
        <v>695</v>
      </c>
      <c r="AJ357" s="204">
        <f t="shared" si="319"/>
        <v>1062</v>
      </c>
      <c r="AK357" s="193">
        <v>0</v>
      </c>
      <c r="AL357" s="194">
        <v>0</v>
      </c>
      <c r="AM357" s="195">
        <v>0</v>
      </c>
      <c r="AN357" s="196">
        <v>0</v>
      </c>
      <c r="AO357" s="219">
        <v>0</v>
      </c>
      <c r="AP357" s="220">
        <v>0</v>
      </c>
      <c r="AQ357" s="205">
        <f t="shared" si="315"/>
        <v>0</v>
      </c>
      <c r="AR357" s="206">
        <f t="shared" si="316"/>
        <v>0</v>
      </c>
      <c r="AS357" s="193">
        <v>0</v>
      </c>
      <c r="AT357" s="194">
        <v>0</v>
      </c>
      <c r="AU357" s="195">
        <v>0</v>
      </c>
      <c r="AV357" s="196">
        <v>0</v>
      </c>
      <c r="AW357" s="219">
        <v>0</v>
      </c>
      <c r="AX357" s="220">
        <v>0</v>
      </c>
      <c r="AY357" s="205">
        <f t="shared" si="317"/>
        <v>0</v>
      </c>
      <c r="AZ357" s="206">
        <f t="shared" si="318"/>
        <v>0</v>
      </c>
      <c r="BA357" s="207">
        <f t="shared" si="320"/>
        <v>0</v>
      </c>
      <c r="BB357" s="204">
        <f t="shared" si="320"/>
        <v>0</v>
      </c>
      <c r="BC357" s="208">
        <f t="shared" si="321"/>
        <v>375</v>
      </c>
      <c r="BD357" s="209">
        <f t="shared" si="321"/>
        <v>564</v>
      </c>
      <c r="BE357" s="210">
        <f t="shared" si="322"/>
        <v>320</v>
      </c>
      <c r="BF357" s="211">
        <f t="shared" si="322"/>
        <v>498</v>
      </c>
      <c r="BG357" s="212">
        <f t="shared" si="323"/>
        <v>695</v>
      </c>
      <c r="BH357" s="213">
        <f t="shared" si="323"/>
        <v>1062</v>
      </c>
    </row>
    <row r="358" spans="1:60" ht="21" x14ac:dyDescent="0.3">
      <c r="A358" s="214" t="s">
        <v>1302</v>
      </c>
      <c r="B358" s="306">
        <v>14</v>
      </c>
      <c r="C358" s="180">
        <v>20</v>
      </c>
      <c r="D358" s="215" t="s">
        <v>231</v>
      </c>
      <c r="E358" s="182" t="s">
        <v>1385</v>
      </c>
      <c r="F358" s="183" t="s">
        <v>1179</v>
      </c>
      <c r="G358" s="216" t="s">
        <v>1386</v>
      </c>
      <c r="H358" s="217" t="s">
        <v>1387</v>
      </c>
      <c r="I358" s="217" t="s">
        <v>1388</v>
      </c>
      <c r="J358" s="218">
        <v>46019.708333333336</v>
      </c>
      <c r="K358" s="223">
        <f t="shared" si="305"/>
        <v>0.51111111111094942</v>
      </c>
      <c r="L358" s="222">
        <v>0</v>
      </c>
      <c r="M358" s="189">
        <f t="shared" si="306"/>
        <v>0.51111111111094942</v>
      </c>
      <c r="N358" s="189">
        <f t="shared" si="307"/>
        <v>0.66666666667151731</v>
      </c>
      <c r="O358" s="190">
        <f t="shared" si="308"/>
        <v>37.500000000011859</v>
      </c>
      <c r="P358" s="190">
        <f t="shared" si="309"/>
        <v>37.500000000011859</v>
      </c>
      <c r="Q358" s="191">
        <f t="shared" si="310"/>
        <v>28.749999999790816</v>
      </c>
      <c r="R358" s="192" t="s">
        <v>57</v>
      </c>
      <c r="S358" s="193">
        <v>99</v>
      </c>
      <c r="T358" s="194">
        <v>5</v>
      </c>
      <c r="U358" s="195">
        <v>88</v>
      </c>
      <c r="V358" s="196">
        <v>0</v>
      </c>
      <c r="W358" s="219">
        <v>0</v>
      </c>
      <c r="X358" s="220">
        <v>0</v>
      </c>
      <c r="Y358" s="199">
        <f t="shared" si="311"/>
        <v>192</v>
      </c>
      <c r="Z358" s="200">
        <f t="shared" si="312"/>
        <v>280</v>
      </c>
      <c r="AA358" s="193">
        <v>130</v>
      </c>
      <c r="AB358" s="194">
        <v>0</v>
      </c>
      <c r="AC358" s="195">
        <v>90</v>
      </c>
      <c r="AD358" s="201">
        <v>40</v>
      </c>
      <c r="AE358" s="221">
        <v>0</v>
      </c>
      <c r="AF358" s="220">
        <v>8</v>
      </c>
      <c r="AG358" s="199">
        <f t="shared" si="313"/>
        <v>268</v>
      </c>
      <c r="AH358" s="200">
        <f t="shared" si="314"/>
        <v>406</v>
      </c>
      <c r="AI358" s="203">
        <f t="shared" si="319"/>
        <v>460</v>
      </c>
      <c r="AJ358" s="204">
        <f t="shared" si="319"/>
        <v>686</v>
      </c>
      <c r="AK358" s="193">
        <v>0</v>
      </c>
      <c r="AL358" s="194">
        <v>0</v>
      </c>
      <c r="AM358" s="195">
        <v>0</v>
      </c>
      <c r="AN358" s="196">
        <v>0</v>
      </c>
      <c r="AO358" s="219">
        <v>0</v>
      </c>
      <c r="AP358" s="220">
        <v>0</v>
      </c>
      <c r="AQ358" s="205">
        <f t="shared" si="315"/>
        <v>0</v>
      </c>
      <c r="AR358" s="206">
        <f t="shared" si="316"/>
        <v>0</v>
      </c>
      <c r="AS358" s="193">
        <v>0</v>
      </c>
      <c r="AT358" s="194">
        <v>0</v>
      </c>
      <c r="AU358" s="195">
        <v>0</v>
      </c>
      <c r="AV358" s="196">
        <v>0</v>
      </c>
      <c r="AW358" s="219">
        <v>0</v>
      </c>
      <c r="AX358" s="220">
        <v>0</v>
      </c>
      <c r="AY358" s="205">
        <f t="shared" si="317"/>
        <v>0</v>
      </c>
      <c r="AZ358" s="206">
        <f t="shared" si="318"/>
        <v>0</v>
      </c>
      <c r="BA358" s="207">
        <f t="shared" si="320"/>
        <v>0</v>
      </c>
      <c r="BB358" s="204">
        <f t="shared" si="320"/>
        <v>0</v>
      </c>
      <c r="BC358" s="208">
        <f t="shared" si="321"/>
        <v>192</v>
      </c>
      <c r="BD358" s="209">
        <f t="shared" si="321"/>
        <v>280</v>
      </c>
      <c r="BE358" s="210">
        <f t="shared" si="322"/>
        <v>268</v>
      </c>
      <c r="BF358" s="211">
        <f t="shared" si="322"/>
        <v>406</v>
      </c>
      <c r="BG358" s="212">
        <f t="shared" si="323"/>
        <v>460</v>
      </c>
      <c r="BH358" s="213">
        <f t="shared" si="323"/>
        <v>686</v>
      </c>
    </row>
    <row r="359" spans="1:60" ht="21" x14ac:dyDescent="0.3">
      <c r="A359" s="214" t="s">
        <v>1302</v>
      </c>
      <c r="B359" s="306">
        <v>7</v>
      </c>
      <c r="C359" s="180">
        <v>21</v>
      </c>
      <c r="D359" s="215" t="s">
        <v>65</v>
      </c>
      <c r="E359" s="182" t="s">
        <v>1389</v>
      </c>
      <c r="F359" s="183" t="s">
        <v>1390</v>
      </c>
      <c r="G359" s="216" t="s">
        <v>1391</v>
      </c>
      <c r="H359" s="217" t="s">
        <v>1392</v>
      </c>
      <c r="I359" s="217" t="s">
        <v>1393</v>
      </c>
      <c r="J359" s="218">
        <v>46019.666666666664</v>
      </c>
      <c r="K359" s="223">
        <f t="shared" si="305"/>
        <v>0.49513888888759539</v>
      </c>
      <c r="L359" s="222">
        <v>0</v>
      </c>
      <c r="M359" s="189">
        <f t="shared" si="306"/>
        <v>0.49513888888759539</v>
      </c>
      <c r="N359" s="189">
        <f t="shared" si="307"/>
        <v>0.57291666666424135</v>
      </c>
      <c r="O359" s="190">
        <f t="shared" si="308"/>
        <v>51.332398317104655</v>
      </c>
      <c r="P359" s="190">
        <f t="shared" si="309"/>
        <v>51.332398317104655</v>
      </c>
      <c r="Q359" s="191">
        <f t="shared" si="310"/>
        <v>44.363636363824163</v>
      </c>
      <c r="R359" s="192" t="s">
        <v>71</v>
      </c>
      <c r="S359" s="193">
        <v>122</v>
      </c>
      <c r="T359" s="194">
        <v>2</v>
      </c>
      <c r="U359" s="195">
        <v>162</v>
      </c>
      <c r="V359" s="196">
        <v>30</v>
      </c>
      <c r="W359" s="219">
        <v>0</v>
      </c>
      <c r="X359" s="220">
        <v>0</v>
      </c>
      <c r="Y359" s="199">
        <f t="shared" si="311"/>
        <v>316</v>
      </c>
      <c r="Z359" s="200">
        <f t="shared" si="312"/>
        <v>508</v>
      </c>
      <c r="AA359" s="193">
        <v>104</v>
      </c>
      <c r="AB359" s="194">
        <v>12</v>
      </c>
      <c r="AC359" s="195">
        <v>136</v>
      </c>
      <c r="AD359" s="201">
        <v>38</v>
      </c>
      <c r="AE359" s="221">
        <v>0</v>
      </c>
      <c r="AF359" s="220">
        <v>4</v>
      </c>
      <c r="AG359" s="199">
        <f t="shared" si="313"/>
        <v>294</v>
      </c>
      <c r="AH359" s="200">
        <f t="shared" si="314"/>
        <v>472</v>
      </c>
      <c r="AI359" s="203">
        <f t="shared" si="319"/>
        <v>610</v>
      </c>
      <c r="AJ359" s="204">
        <f t="shared" si="319"/>
        <v>980</v>
      </c>
      <c r="AK359" s="193">
        <v>0</v>
      </c>
      <c r="AL359" s="194">
        <v>0</v>
      </c>
      <c r="AM359" s="195">
        <v>0</v>
      </c>
      <c r="AN359" s="196">
        <v>0</v>
      </c>
      <c r="AO359" s="219">
        <v>0</v>
      </c>
      <c r="AP359" s="220">
        <v>0</v>
      </c>
      <c r="AQ359" s="205">
        <f t="shared" si="315"/>
        <v>0</v>
      </c>
      <c r="AR359" s="206">
        <f t="shared" si="316"/>
        <v>0</v>
      </c>
      <c r="AS359" s="193">
        <v>0</v>
      </c>
      <c r="AT359" s="194">
        <v>0</v>
      </c>
      <c r="AU359" s="195">
        <v>0</v>
      </c>
      <c r="AV359" s="196">
        <v>0</v>
      </c>
      <c r="AW359" s="219">
        <v>0</v>
      </c>
      <c r="AX359" s="220">
        <v>0</v>
      </c>
      <c r="AY359" s="205">
        <f t="shared" si="317"/>
        <v>0</v>
      </c>
      <c r="AZ359" s="206">
        <f t="shared" si="318"/>
        <v>0</v>
      </c>
      <c r="BA359" s="207">
        <f t="shared" si="320"/>
        <v>0</v>
      </c>
      <c r="BB359" s="204">
        <f t="shared" si="320"/>
        <v>0</v>
      </c>
      <c r="BC359" s="208">
        <f t="shared" si="321"/>
        <v>316</v>
      </c>
      <c r="BD359" s="209">
        <f t="shared" si="321"/>
        <v>508</v>
      </c>
      <c r="BE359" s="210">
        <f t="shared" si="322"/>
        <v>294</v>
      </c>
      <c r="BF359" s="211">
        <f t="shared" si="322"/>
        <v>472</v>
      </c>
      <c r="BG359" s="212">
        <f t="shared" si="323"/>
        <v>610</v>
      </c>
      <c r="BH359" s="213">
        <f t="shared" si="323"/>
        <v>980</v>
      </c>
    </row>
    <row r="360" spans="1:60" ht="21" x14ac:dyDescent="0.3">
      <c r="A360" s="214" t="s">
        <v>1302</v>
      </c>
      <c r="B360" s="306">
        <v>8</v>
      </c>
      <c r="C360" s="180">
        <v>22</v>
      </c>
      <c r="D360" s="215" t="s">
        <v>79</v>
      </c>
      <c r="E360" s="182" t="s">
        <v>1394</v>
      </c>
      <c r="F360" s="183" t="s">
        <v>1314</v>
      </c>
      <c r="G360" s="216" t="s">
        <v>1395</v>
      </c>
      <c r="H360" s="217" t="s">
        <v>1396</v>
      </c>
      <c r="I360" s="217" t="s">
        <v>1397</v>
      </c>
      <c r="J360" s="218">
        <v>46021.59375</v>
      </c>
      <c r="K360" s="223">
        <f t="shared" si="305"/>
        <v>0.54652777777664596</v>
      </c>
      <c r="L360" s="222">
        <v>0</v>
      </c>
      <c r="M360" s="189">
        <f t="shared" si="306"/>
        <v>0.54652777777664596</v>
      </c>
      <c r="N360" s="189">
        <f t="shared" si="307"/>
        <v>0.57291666666424135</v>
      </c>
      <c r="O360" s="190">
        <f t="shared" si="308"/>
        <v>47.268106734532445</v>
      </c>
      <c r="P360" s="190">
        <f t="shared" si="309"/>
        <v>47.268106734532445</v>
      </c>
      <c r="Q360" s="191">
        <f t="shared" si="310"/>
        <v>45.090909091099974</v>
      </c>
      <c r="R360" s="192" t="s">
        <v>71</v>
      </c>
      <c r="S360" s="193">
        <v>123</v>
      </c>
      <c r="T360" s="194">
        <v>2</v>
      </c>
      <c r="U360" s="195">
        <v>165</v>
      </c>
      <c r="V360" s="196">
        <v>28</v>
      </c>
      <c r="W360" s="219">
        <v>0</v>
      </c>
      <c r="X360" s="220">
        <v>1</v>
      </c>
      <c r="Y360" s="199">
        <f t="shared" si="311"/>
        <v>319</v>
      </c>
      <c r="Z360" s="200">
        <f t="shared" si="312"/>
        <v>513</v>
      </c>
      <c r="AA360" s="193">
        <v>102</v>
      </c>
      <c r="AB360" s="194">
        <v>12</v>
      </c>
      <c r="AC360" s="195">
        <v>138</v>
      </c>
      <c r="AD360" s="201">
        <v>44</v>
      </c>
      <c r="AE360" s="221">
        <v>0</v>
      </c>
      <c r="AF360" s="220">
        <v>5</v>
      </c>
      <c r="AG360" s="199">
        <f t="shared" si="313"/>
        <v>301</v>
      </c>
      <c r="AH360" s="200">
        <f t="shared" si="314"/>
        <v>488</v>
      </c>
      <c r="AI360" s="203">
        <f t="shared" si="319"/>
        <v>620</v>
      </c>
      <c r="AJ360" s="204">
        <f t="shared" si="319"/>
        <v>1001</v>
      </c>
      <c r="AK360" s="193">
        <v>0</v>
      </c>
      <c r="AL360" s="194">
        <v>0</v>
      </c>
      <c r="AM360" s="195">
        <v>0</v>
      </c>
      <c r="AN360" s="196">
        <v>0</v>
      </c>
      <c r="AO360" s="219">
        <v>0</v>
      </c>
      <c r="AP360" s="220">
        <v>0</v>
      </c>
      <c r="AQ360" s="205">
        <f t="shared" si="315"/>
        <v>0</v>
      </c>
      <c r="AR360" s="206">
        <f t="shared" si="316"/>
        <v>0</v>
      </c>
      <c r="AS360" s="193">
        <v>0</v>
      </c>
      <c r="AT360" s="194">
        <v>0</v>
      </c>
      <c r="AU360" s="195">
        <v>0</v>
      </c>
      <c r="AV360" s="196">
        <v>0</v>
      </c>
      <c r="AW360" s="219">
        <v>0</v>
      </c>
      <c r="AX360" s="220">
        <v>0</v>
      </c>
      <c r="AY360" s="205">
        <f t="shared" si="317"/>
        <v>0</v>
      </c>
      <c r="AZ360" s="206">
        <f t="shared" si="318"/>
        <v>0</v>
      </c>
      <c r="BA360" s="207">
        <f t="shared" si="320"/>
        <v>0</v>
      </c>
      <c r="BB360" s="204">
        <f t="shared" si="320"/>
        <v>0</v>
      </c>
      <c r="BC360" s="208">
        <f t="shared" si="321"/>
        <v>319</v>
      </c>
      <c r="BD360" s="209">
        <f t="shared" si="321"/>
        <v>513</v>
      </c>
      <c r="BE360" s="210">
        <f t="shared" si="322"/>
        <v>301</v>
      </c>
      <c r="BF360" s="211">
        <f t="shared" si="322"/>
        <v>488</v>
      </c>
      <c r="BG360" s="212">
        <f t="shared" si="323"/>
        <v>620</v>
      </c>
      <c r="BH360" s="213">
        <f t="shared" si="323"/>
        <v>1001</v>
      </c>
    </row>
    <row r="361" spans="1:60" ht="21" x14ac:dyDescent="0.3">
      <c r="A361" s="214" t="s">
        <v>1302</v>
      </c>
      <c r="B361" s="306" t="s">
        <v>781</v>
      </c>
      <c r="C361" s="180">
        <v>23</v>
      </c>
      <c r="D361" s="215">
        <v>0</v>
      </c>
      <c r="E361" s="182">
        <v>0</v>
      </c>
      <c r="F361" s="183">
        <v>0</v>
      </c>
      <c r="G361" s="216">
        <v>0</v>
      </c>
      <c r="H361" s="217">
        <v>0</v>
      </c>
      <c r="I361" s="217">
        <v>0</v>
      </c>
      <c r="J361" s="218">
        <v>0</v>
      </c>
      <c r="K361" s="223"/>
      <c r="L361" s="222"/>
      <c r="M361" s="189"/>
      <c r="N361" s="189"/>
      <c r="O361" s="190"/>
      <c r="P361" s="190"/>
      <c r="Q361" s="191"/>
      <c r="R361" s="192"/>
      <c r="S361" s="193">
        <v>0</v>
      </c>
      <c r="T361" s="194">
        <v>0</v>
      </c>
      <c r="U361" s="195">
        <v>0</v>
      </c>
      <c r="V361" s="196">
        <v>0</v>
      </c>
      <c r="W361" s="219">
        <v>0</v>
      </c>
      <c r="X361" s="220">
        <v>0</v>
      </c>
      <c r="Y361" s="199">
        <f t="shared" si="311"/>
        <v>0</v>
      </c>
      <c r="Z361" s="200">
        <f t="shared" si="312"/>
        <v>0</v>
      </c>
      <c r="AA361" s="193">
        <v>0</v>
      </c>
      <c r="AB361" s="194">
        <v>0</v>
      </c>
      <c r="AC361" s="195">
        <v>0</v>
      </c>
      <c r="AD361" s="201">
        <v>0</v>
      </c>
      <c r="AE361" s="221">
        <v>0</v>
      </c>
      <c r="AF361" s="220">
        <v>0</v>
      </c>
      <c r="AG361" s="199">
        <f t="shared" si="313"/>
        <v>0</v>
      </c>
      <c r="AH361" s="200">
        <f t="shared" si="314"/>
        <v>0</v>
      </c>
      <c r="AI361" s="203">
        <f t="shared" si="319"/>
        <v>0</v>
      </c>
      <c r="AJ361" s="204">
        <f t="shared" si="319"/>
        <v>0</v>
      </c>
      <c r="AK361" s="193">
        <v>0</v>
      </c>
      <c r="AL361" s="194">
        <v>0</v>
      </c>
      <c r="AM361" s="195">
        <v>0</v>
      </c>
      <c r="AN361" s="196">
        <v>0</v>
      </c>
      <c r="AO361" s="219">
        <v>0</v>
      </c>
      <c r="AP361" s="220">
        <v>0</v>
      </c>
      <c r="AQ361" s="205">
        <f t="shared" si="315"/>
        <v>0</v>
      </c>
      <c r="AR361" s="206">
        <f t="shared" si="316"/>
        <v>0</v>
      </c>
      <c r="AS361" s="193">
        <v>0</v>
      </c>
      <c r="AT361" s="194">
        <v>0</v>
      </c>
      <c r="AU361" s="195">
        <v>0</v>
      </c>
      <c r="AV361" s="196">
        <v>0</v>
      </c>
      <c r="AW361" s="219">
        <v>0</v>
      </c>
      <c r="AX361" s="220">
        <v>0</v>
      </c>
      <c r="AY361" s="205">
        <f t="shared" si="317"/>
        <v>0</v>
      </c>
      <c r="AZ361" s="206">
        <f t="shared" si="318"/>
        <v>0</v>
      </c>
      <c r="BA361" s="207">
        <f t="shared" si="320"/>
        <v>0</v>
      </c>
      <c r="BB361" s="204">
        <f t="shared" si="320"/>
        <v>0</v>
      </c>
      <c r="BC361" s="208">
        <f t="shared" si="321"/>
        <v>0</v>
      </c>
      <c r="BD361" s="209">
        <f t="shared" si="321"/>
        <v>0</v>
      </c>
      <c r="BE361" s="210">
        <f t="shared" si="322"/>
        <v>0</v>
      </c>
      <c r="BF361" s="211">
        <f t="shared" si="322"/>
        <v>0</v>
      </c>
      <c r="BG361" s="212">
        <f t="shared" si="323"/>
        <v>0</v>
      </c>
      <c r="BH361" s="213">
        <f t="shared" si="323"/>
        <v>0</v>
      </c>
    </row>
    <row r="362" spans="1:60" ht="21" x14ac:dyDescent="0.3">
      <c r="A362" s="214" t="s">
        <v>1302</v>
      </c>
      <c r="B362" s="306" t="s">
        <v>781</v>
      </c>
      <c r="C362" s="180">
        <v>24</v>
      </c>
      <c r="D362" s="215">
        <v>0</v>
      </c>
      <c r="E362" s="182">
        <v>0</v>
      </c>
      <c r="F362" s="183">
        <v>0</v>
      </c>
      <c r="G362" s="216">
        <v>0</v>
      </c>
      <c r="H362" s="217">
        <v>0</v>
      </c>
      <c r="I362" s="217">
        <v>0</v>
      </c>
      <c r="J362" s="218">
        <v>0</v>
      </c>
      <c r="K362" s="223"/>
      <c r="L362" s="222"/>
      <c r="M362" s="189"/>
      <c r="N362" s="189"/>
      <c r="O362" s="190"/>
      <c r="P362" s="190"/>
      <c r="Q362" s="191"/>
      <c r="R362" s="192"/>
      <c r="S362" s="193">
        <v>0</v>
      </c>
      <c r="T362" s="194">
        <v>0</v>
      </c>
      <c r="U362" s="195">
        <v>0</v>
      </c>
      <c r="V362" s="196">
        <v>0</v>
      </c>
      <c r="W362" s="219">
        <v>0</v>
      </c>
      <c r="X362" s="220">
        <v>0</v>
      </c>
      <c r="Y362" s="199">
        <f t="shared" si="311"/>
        <v>0</v>
      </c>
      <c r="Z362" s="200">
        <f t="shared" si="312"/>
        <v>0</v>
      </c>
      <c r="AA362" s="193">
        <v>0</v>
      </c>
      <c r="AB362" s="194">
        <v>0</v>
      </c>
      <c r="AC362" s="195">
        <v>0</v>
      </c>
      <c r="AD362" s="201">
        <v>0</v>
      </c>
      <c r="AE362" s="221">
        <v>0</v>
      </c>
      <c r="AF362" s="220">
        <v>0</v>
      </c>
      <c r="AG362" s="199">
        <f t="shared" si="313"/>
        <v>0</v>
      </c>
      <c r="AH362" s="200">
        <f t="shared" si="314"/>
        <v>0</v>
      </c>
      <c r="AI362" s="203">
        <f t="shared" si="319"/>
        <v>0</v>
      </c>
      <c r="AJ362" s="204">
        <f t="shared" si="319"/>
        <v>0</v>
      </c>
      <c r="AK362" s="193">
        <v>0</v>
      </c>
      <c r="AL362" s="194">
        <v>0</v>
      </c>
      <c r="AM362" s="195">
        <v>0</v>
      </c>
      <c r="AN362" s="196">
        <v>0</v>
      </c>
      <c r="AO362" s="219">
        <v>0</v>
      </c>
      <c r="AP362" s="220">
        <v>0</v>
      </c>
      <c r="AQ362" s="205">
        <f t="shared" si="315"/>
        <v>0</v>
      </c>
      <c r="AR362" s="206">
        <f t="shared" si="316"/>
        <v>0</v>
      </c>
      <c r="AS362" s="193">
        <v>0</v>
      </c>
      <c r="AT362" s="194">
        <v>0</v>
      </c>
      <c r="AU362" s="195">
        <v>0</v>
      </c>
      <c r="AV362" s="196">
        <v>0</v>
      </c>
      <c r="AW362" s="219">
        <v>0</v>
      </c>
      <c r="AX362" s="220">
        <v>0</v>
      </c>
      <c r="AY362" s="205">
        <f t="shared" si="317"/>
        <v>0</v>
      </c>
      <c r="AZ362" s="206">
        <f t="shared" si="318"/>
        <v>0</v>
      </c>
      <c r="BA362" s="207">
        <f t="shared" si="320"/>
        <v>0</v>
      </c>
      <c r="BB362" s="204">
        <f t="shared" si="320"/>
        <v>0</v>
      </c>
      <c r="BC362" s="208">
        <f t="shared" si="321"/>
        <v>0</v>
      </c>
      <c r="BD362" s="209">
        <f t="shared" si="321"/>
        <v>0</v>
      </c>
      <c r="BE362" s="210">
        <f t="shared" si="322"/>
        <v>0</v>
      </c>
      <c r="BF362" s="211">
        <f t="shared" si="322"/>
        <v>0</v>
      </c>
      <c r="BG362" s="212">
        <f t="shared" si="323"/>
        <v>0</v>
      </c>
      <c r="BH362" s="213">
        <f t="shared" si="323"/>
        <v>0</v>
      </c>
    </row>
    <row r="363" spans="1:60" ht="21" x14ac:dyDescent="0.3">
      <c r="A363" s="214" t="s">
        <v>1302</v>
      </c>
      <c r="B363" s="306" t="s">
        <v>781</v>
      </c>
      <c r="C363" s="180">
        <v>25</v>
      </c>
      <c r="D363" s="215">
        <v>0</v>
      </c>
      <c r="E363" s="182">
        <v>0</v>
      </c>
      <c r="F363" s="183">
        <v>0</v>
      </c>
      <c r="G363" s="216">
        <v>0</v>
      </c>
      <c r="H363" s="217">
        <v>0</v>
      </c>
      <c r="I363" s="217">
        <v>0</v>
      </c>
      <c r="J363" s="218">
        <v>0</v>
      </c>
      <c r="K363" s="223"/>
      <c r="L363" s="222"/>
      <c r="M363" s="189"/>
      <c r="N363" s="189"/>
      <c r="O363" s="190"/>
      <c r="P363" s="190"/>
      <c r="Q363" s="191"/>
      <c r="R363" s="192"/>
      <c r="S363" s="193">
        <v>0</v>
      </c>
      <c r="T363" s="194">
        <v>0</v>
      </c>
      <c r="U363" s="195">
        <v>0</v>
      </c>
      <c r="V363" s="196">
        <v>0</v>
      </c>
      <c r="W363" s="219">
        <v>0</v>
      </c>
      <c r="X363" s="220">
        <v>0</v>
      </c>
      <c r="Y363" s="199">
        <f t="shared" si="311"/>
        <v>0</v>
      </c>
      <c r="Z363" s="200">
        <f t="shared" si="312"/>
        <v>0</v>
      </c>
      <c r="AA363" s="193">
        <v>0</v>
      </c>
      <c r="AB363" s="194">
        <v>0</v>
      </c>
      <c r="AC363" s="195">
        <v>0</v>
      </c>
      <c r="AD363" s="201">
        <v>0</v>
      </c>
      <c r="AE363" s="221">
        <v>0</v>
      </c>
      <c r="AF363" s="220">
        <v>0</v>
      </c>
      <c r="AG363" s="199">
        <f t="shared" si="313"/>
        <v>0</v>
      </c>
      <c r="AH363" s="200">
        <f t="shared" si="314"/>
        <v>0</v>
      </c>
      <c r="AI363" s="203">
        <f t="shared" si="319"/>
        <v>0</v>
      </c>
      <c r="AJ363" s="204">
        <f t="shared" si="319"/>
        <v>0</v>
      </c>
      <c r="AK363" s="193">
        <v>0</v>
      </c>
      <c r="AL363" s="194">
        <v>0</v>
      </c>
      <c r="AM363" s="195">
        <v>0</v>
      </c>
      <c r="AN363" s="196">
        <v>0</v>
      </c>
      <c r="AO363" s="219">
        <v>0</v>
      </c>
      <c r="AP363" s="220">
        <v>0</v>
      </c>
      <c r="AQ363" s="205">
        <f t="shared" si="315"/>
        <v>0</v>
      </c>
      <c r="AR363" s="206">
        <f t="shared" si="316"/>
        <v>0</v>
      </c>
      <c r="AS363" s="193">
        <v>0</v>
      </c>
      <c r="AT363" s="194">
        <v>0</v>
      </c>
      <c r="AU363" s="195">
        <v>0</v>
      </c>
      <c r="AV363" s="196">
        <v>0</v>
      </c>
      <c r="AW363" s="219">
        <v>0</v>
      </c>
      <c r="AX363" s="220">
        <v>0</v>
      </c>
      <c r="AY363" s="205">
        <f t="shared" si="317"/>
        <v>0</v>
      </c>
      <c r="AZ363" s="206">
        <f t="shared" si="318"/>
        <v>0</v>
      </c>
      <c r="BA363" s="207">
        <f t="shared" si="320"/>
        <v>0</v>
      </c>
      <c r="BB363" s="204">
        <f t="shared" si="320"/>
        <v>0</v>
      </c>
      <c r="BC363" s="208">
        <f t="shared" si="321"/>
        <v>0</v>
      </c>
      <c r="BD363" s="209">
        <f t="shared" si="321"/>
        <v>0</v>
      </c>
      <c r="BE363" s="210">
        <f t="shared" si="322"/>
        <v>0</v>
      </c>
      <c r="BF363" s="211">
        <f t="shared" si="322"/>
        <v>0</v>
      </c>
      <c r="BG363" s="212">
        <f t="shared" si="323"/>
        <v>0</v>
      </c>
      <c r="BH363" s="213">
        <f t="shared" si="323"/>
        <v>0</v>
      </c>
    </row>
    <row r="364" spans="1:60" ht="21" x14ac:dyDescent="0.3">
      <c r="A364" s="214" t="s">
        <v>1302</v>
      </c>
      <c r="B364" s="306" t="s">
        <v>781</v>
      </c>
      <c r="C364" s="180">
        <v>26</v>
      </c>
      <c r="D364" s="215">
        <v>0</v>
      </c>
      <c r="E364" s="182">
        <v>0</v>
      </c>
      <c r="F364" s="183">
        <v>0</v>
      </c>
      <c r="G364" s="216">
        <v>0</v>
      </c>
      <c r="H364" s="217">
        <v>0</v>
      </c>
      <c r="I364" s="217">
        <v>0</v>
      </c>
      <c r="J364" s="218">
        <v>0</v>
      </c>
      <c r="K364" s="223"/>
      <c r="L364" s="222"/>
      <c r="M364" s="189"/>
      <c r="N364" s="189"/>
      <c r="O364" s="190"/>
      <c r="P364" s="190"/>
      <c r="Q364" s="191"/>
      <c r="R364" s="192"/>
      <c r="S364" s="193">
        <v>0</v>
      </c>
      <c r="T364" s="194">
        <v>0</v>
      </c>
      <c r="U364" s="195">
        <v>0</v>
      </c>
      <c r="V364" s="196">
        <v>0</v>
      </c>
      <c r="W364" s="219">
        <v>0</v>
      </c>
      <c r="X364" s="220">
        <v>0</v>
      </c>
      <c r="Y364" s="199">
        <f t="shared" si="311"/>
        <v>0</v>
      </c>
      <c r="Z364" s="200">
        <f t="shared" si="312"/>
        <v>0</v>
      </c>
      <c r="AA364" s="193">
        <v>0</v>
      </c>
      <c r="AB364" s="194">
        <v>0</v>
      </c>
      <c r="AC364" s="195">
        <v>0</v>
      </c>
      <c r="AD364" s="201">
        <v>0</v>
      </c>
      <c r="AE364" s="221">
        <v>0</v>
      </c>
      <c r="AF364" s="220">
        <v>0</v>
      </c>
      <c r="AG364" s="199">
        <f t="shared" si="313"/>
        <v>0</v>
      </c>
      <c r="AH364" s="200">
        <f t="shared" si="314"/>
        <v>0</v>
      </c>
      <c r="AI364" s="203">
        <f t="shared" si="319"/>
        <v>0</v>
      </c>
      <c r="AJ364" s="204">
        <f t="shared" si="319"/>
        <v>0</v>
      </c>
      <c r="AK364" s="193">
        <v>0</v>
      </c>
      <c r="AL364" s="194">
        <v>0</v>
      </c>
      <c r="AM364" s="195">
        <v>0</v>
      </c>
      <c r="AN364" s="196">
        <v>0</v>
      </c>
      <c r="AO364" s="219">
        <v>0</v>
      </c>
      <c r="AP364" s="220">
        <v>0</v>
      </c>
      <c r="AQ364" s="205">
        <f t="shared" si="315"/>
        <v>0</v>
      </c>
      <c r="AR364" s="206">
        <f t="shared" si="316"/>
        <v>0</v>
      </c>
      <c r="AS364" s="193">
        <v>0</v>
      </c>
      <c r="AT364" s="194">
        <v>0</v>
      </c>
      <c r="AU364" s="195">
        <v>0</v>
      </c>
      <c r="AV364" s="196">
        <v>0</v>
      </c>
      <c r="AW364" s="219">
        <v>0</v>
      </c>
      <c r="AX364" s="220">
        <v>0</v>
      </c>
      <c r="AY364" s="205">
        <f t="shared" si="317"/>
        <v>0</v>
      </c>
      <c r="AZ364" s="206">
        <f t="shared" si="318"/>
        <v>0</v>
      </c>
      <c r="BA364" s="207">
        <f t="shared" si="320"/>
        <v>0</v>
      </c>
      <c r="BB364" s="204">
        <f t="shared" si="320"/>
        <v>0</v>
      </c>
      <c r="BC364" s="208">
        <f t="shared" si="321"/>
        <v>0</v>
      </c>
      <c r="BD364" s="209">
        <f t="shared" si="321"/>
        <v>0</v>
      </c>
      <c r="BE364" s="210">
        <f t="shared" si="322"/>
        <v>0</v>
      </c>
      <c r="BF364" s="211">
        <f t="shared" si="322"/>
        <v>0</v>
      </c>
      <c r="BG364" s="212">
        <f t="shared" si="323"/>
        <v>0</v>
      </c>
      <c r="BH364" s="213">
        <f t="shared" si="323"/>
        <v>0</v>
      </c>
    </row>
    <row r="365" spans="1:60" ht="21" x14ac:dyDescent="0.3">
      <c r="A365" s="214" t="s">
        <v>1302</v>
      </c>
      <c r="B365" s="306" t="s">
        <v>781</v>
      </c>
      <c r="C365" s="180">
        <v>27</v>
      </c>
      <c r="D365" s="215">
        <v>0</v>
      </c>
      <c r="E365" s="182">
        <v>0</v>
      </c>
      <c r="F365" s="183">
        <v>0</v>
      </c>
      <c r="G365" s="216">
        <v>0</v>
      </c>
      <c r="H365" s="217">
        <v>0</v>
      </c>
      <c r="I365" s="217">
        <v>0</v>
      </c>
      <c r="J365" s="218">
        <v>0</v>
      </c>
      <c r="K365" s="223"/>
      <c r="L365" s="222"/>
      <c r="M365" s="189"/>
      <c r="N365" s="189"/>
      <c r="O365" s="190"/>
      <c r="P365" s="190"/>
      <c r="Q365" s="191"/>
      <c r="R365" s="192"/>
      <c r="S365" s="193">
        <v>0</v>
      </c>
      <c r="T365" s="194">
        <v>0</v>
      </c>
      <c r="U365" s="195">
        <v>0</v>
      </c>
      <c r="V365" s="196">
        <v>0</v>
      </c>
      <c r="W365" s="219">
        <v>0</v>
      </c>
      <c r="X365" s="220">
        <v>0</v>
      </c>
      <c r="Y365" s="199">
        <f t="shared" si="311"/>
        <v>0</v>
      </c>
      <c r="Z365" s="200">
        <f t="shared" si="312"/>
        <v>0</v>
      </c>
      <c r="AA365" s="193">
        <v>0</v>
      </c>
      <c r="AB365" s="194">
        <v>0</v>
      </c>
      <c r="AC365" s="195">
        <v>0</v>
      </c>
      <c r="AD365" s="201">
        <v>0</v>
      </c>
      <c r="AE365" s="221">
        <v>0</v>
      </c>
      <c r="AF365" s="220">
        <v>0</v>
      </c>
      <c r="AG365" s="199">
        <f t="shared" si="313"/>
        <v>0</v>
      </c>
      <c r="AH365" s="200">
        <f t="shared" si="314"/>
        <v>0</v>
      </c>
      <c r="AI365" s="203">
        <f t="shared" si="319"/>
        <v>0</v>
      </c>
      <c r="AJ365" s="204">
        <f t="shared" si="319"/>
        <v>0</v>
      </c>
      <c r="AK365" s="193">
        <v>0</v>
      </c>
      <c r="AL365" s="194">
        <v>0</v>
      </c>
      <c r="AM365" s="195">
        <v>0</v>
      </c>
      <c r="AN365" s="196">
        <v>0</v>
      </c>
      <c r="AO365" s="219">
        <v>0</v>
      </c>
      <c r="AP365" s="220">
        <v>0</v>
      </c>
      <c r="AQ365" s="205">
        <f t="shared" si="315"/>
        <v>0</v>
      </c>
      <c r="AR365" s="206">
        <f t="shared" si="316"/>
        <v>0</v>
      </c>
      <c r="AS365" s="193">
        <v>0</v>
      </c>
      <c r="AT365" s="194">
        <v>0</v>
      </c>
      <c r="AU365" s="195">
        <v>0</v>
      </c>
      <c r="AV365" s="196">
        <v>0</v>
      </c>
      <c r="AW365" s="219">
        <v>0</v>
      </c>
      <c r="AX365" s="220">
        <v>0</v>
      </c>
      <c r="AY365" s="205">
        <f t="shared" si="317"/>
        <v>0</v>
      </c>
      <c r="AZ365" s="206">
        <f t="shared" si="318"/>
        <v>0</v>
      </c>
      <c r="BA365" s="207">
        <f t="shared" si="320"/>
        <v>0</v>
      </c>
      <c r="BB365" s="204">
        <f t="shared" si="320"/>
        <v>0</v>
      </c>
      <c r="BC365" s="208">
        <f t="shared" si="321"/>
        <v>0</v>
      </c>
      <c r="BD365" s="209">
        <f t="shared" si="321"/>
        <v>0</v>
      </c>
      <c r="BE365" s="210">
        <f t="shared" si="322"/>
        <v>0</v>
      </c>
      <c r="BF365" s="211">
        <f t="shared" si="322"/>
        <v>0</v>
      </c>
      <c r="BG365" s="212">
        <f t="shared" si="323"/>
        <v>0</v>
      </c>
      <c r="BH365" s="213">
        <f t="shared" si="323"/>
        <v>0</v>
      </c>
    </row>
    <row r="366" spans="1:60" ht="21" x14ac:dyDescent="0.3">
      <c r="A366" s="214" t="s">
        <v>1302</v>
      </c>
      <c r="B366" s="306" t="s">
        <v>781</v>
      </c>
      <c r="C366" s="180">
        <v>28</v>
      </c>
      <c r="D366" s="215">
        <v>0</v>
      </c>
      <c r="E366" s="182">
        <v>0</v>
      </c>
      <c r="F366" s="183">
        <v>0</v>
      </c>
      <c r="G366" s="216">
        <v>0</v>
      </c>
      <c r="H366" s="217">
        <v>0</v>
      </c>
      <c r="I366" s="217">
        <v>0</v>
      </c>
      <c r="J366" s="218">
        <v>0</v>
      </c>
      <c r="K366" s="223"/>
      <c r="L366" s="222"/>
      <c r="M366" s="189"/>
      <c r="N366" s="189"/>
      <c r="O366" s="190"/>
      <c r="P366" s="190"/>
      <c r="Q366" s="191"/>
      <c r="R366" s="192"/>
      <c r="S366" s="193">
        <v>0</v>
      </c>
      <c r="T366" s="194">
        <v>0</v>
      </c>
      <c r="U366" s="195">
        <v>0</v>
      </c>
      <c r="V366" s="196">
        <v>0</v>
      </c>
      <c r="W366" s="219">
        <v>0</v>
      </c>
      <c r="X366" s="220">
        <v>0</v>
      </c>
      <c r="Y366" s="199">
        <f t="shared" si="311"/>
        <v>0</v>
      </c>
      <c r="Z366" s="200">
        <f t="shared" si="312"/>
        <v>0</v>
      </c>
      <c r="AA366" s="193">
        <v>0</v>
      </c>
      <c r="AB366" s="194">
        <v>0</v>
      </c>
      <c r="AC366" s="195">
        <v>0</v>
      </c>
      <c r="AD366" s="201">
        <v>0</v>
      </c>
      <c r="AE366" s="221">
        <v>0</v>
      </c>
      <c r="AF366" s="220">
        <v>0</v>
      </c>
      <c r="AG366" s="199">
        <f t="shared" si="313"/>
        <v>0</v>
      </c>
      <c r="AH366" s="200">
        <f t="shared" si="314"/>
        <v>0</v>
      </c>
      <c r="AI366" s="203">
        <f t="shared" si="319"/>
        <v>0</v>
      </c>
      <c r="AJ366" s="204">
        <f t="shared" si="319"/>
        <v>0</v>
      </c>
      <c r="AK366" s="193">
        <v>0</v>
      </c>
      <c r="AL366" s="194">
        <v>0</v>
      </c>
      <c r="AM366" s="195">
        <v>0</v>
      </c>
      <c r="AN366" s="196">
        <v>0</v>
      </c>
      <c r="AO366" s="219">
        <v>0</v>
      </c>
      <c r="AP366" s="220">
        <v>0</v>
      </c>
      <c r="AQ366" s="205">
        <f t="shared" si="315"/>
        <v>0</v>
      </c>
      <c r="AR366" s="206">
        <f t="shared" si="316"/>
        <v>0</v>
      </c>
      <c r="AS366" s="193">
        <v>0</v>
      </c>
      <c r="AT366" s="194">
        <v>0</v>
      </c>
      <c r="AU366" s="195">
        <v>0</v>
      </c>
      <c r="AV366" s="196">
        <v>0</v>
      </c>
      <c r="AW366" s="219">
        <v>0</v>
      </c>
      <c r="AX366" s="220">
        <v>0</v>
      </c>
      <c r="AY366" s="205">
        <f t="shared" si="317"/>
        <v>0</v>
      </c>
      <c r="AZ366" s="206">
        <f t="shared" si="318"/>
        <v>0</v>
      </c>
      <c r="BA366" s="207">
        <f t="shared" si="320"/>
        <v>0</v>
      </c>
      <c r="BB366" s="204">
        <f t="shared" si="320"/>
        <v>0</v>
      </c>
      <c r="BC366" s="208">
        <f t="shared" si="321"/>
        <v>0</v>
      </c>
      <c r="BD366" s="209">
        <f t="shared" si="321"/>
        <v>0</v>
      </c>
      <c r="BE366" s="210">
        <f t="shared" si="322"/>
        <v>0</v>
      </c>
      <c r="BF366" s="211">
        <f t="shared" si="322"/>
        <v>0</v>
      </c>
      <c r="BG366" s="212">
        <f t="shared" si="323"/>
        <v>0</v>
      </c>
      <c r="BH366" s="213">
        <f t="shared" si="323"/>
        <v>0</v>
      </c>
    </row>
    <row r="367" spans="1:60" ht="21.6" thickBot="1" x14ac:dyDescent="0.35">
      <c r="A367" s="235" t="s">
        <v>1302</v>
      </c>
      <c r="B367" s="306" t="s">
        <v>781</v>
      </c>
      <c r="C367" s="180">
        <v>29</v>
      </c>
      <c r="D367" s="215">
        <v>0</v>
      </c>
      <c r="E367" s="182">
        <v>0</v>
      </c>
      <c r="F367" s="183">
        <v>0</v>
      </c>
      <c r="G367" s="216">
        <v>0</v>
      </c>
      <c r="H367" s="217">
        <v>0</v>
      </c>
      <c r="I367" s="217">
        <v>0</v>
      </c>
      <c r="J367" s="218">
        <v>0</v>
      </c>
      <c r="K367" s="223"/>
      <c r="L367" s="222"/>
      <c r="M367" s="189"/>
      <c r="N367" s="189"/>
      <c r="O367" s="190"/>
      <c r="P367" s="190"/>
      <c r="Q367" s="191"/>
      <c r="R367" s="192"/>
      <c r="S367" s="193">
        <v>0</v>
      </c>
      <c r="T367" s="194">
        <v>0</v>
      </c>
      <c r="U367" s="195">
        <v>0</v>
      </c>
      <c r="V367" s="196">
        <v>0</v>
      </c>
      <c r="W367" s="219">
        <v>0</v>
      </c>
      <c r="X367" s="220">
        <v>0</v>
      </c>
      <c r="Y367" s="199">
        <f t="shared" si="311"/>
        <v>0</v>
      </c>
      <c r="Z367" s="200">
        <f t="shared" si="312"/>
        <v>0</v>
      </c>
      <c r="AA367" s="193">
        <v>0</v>
      </c>
      <c r="AB367" s="194">
        <v>0</v>
      </c>
      <c r="AC367" s="195">
        <v>0</v>
      </c>
      <c r="AD367" s="201">
        <v>0</v>
      </c>
      <c r="AE367" s="221">
        <v>0</v>
      </c>
      <c r="AF367" s="220">
        <v>0</v>
      </c>
      <c r="AG367" s="199">
        <f t="shared" si="313"/>
        <v>0</v>
      </c>
      <c r="AH367" s="200">
        <f t="shared" si="314"/>
        <v>0</v>
      </c>
      <c r="AI367" s="203">
        <f t="shared" si="319"/>
        <v>0</v>
      </c>
      <c r="AJ367" s="204">
        <f t="shared" si="319"/>
        <v>0</v>
      </c>
      <c r="AK367" s="193">
        <v>0</v>
      </c>
      <c r="AL367" s="194">
        <v>0</v>
      </c>
      <c r="AM367" s="195">
        <v>0</v>
      </c>
      <c r="AN367" s="196">
        <v>0</v>
      </c>
      <c r="AO367" s="219">
        <v>0</v>
      </c>
      <c r="AP367" s="220">
        <v>0</v>
      </c>
      <c r="AQ367" s="205">
        <f t="shared" si="315"/>
        <v>0</v>
      </c>
      <c r="AR367" s="206">
        <f t="shared" si="316"/>
        <v>0</v>
      </c>
      <c r="AS367" s="193">
        <v>0</v>
      </c>
      <c r="AT367" s="194">
        <v>0</v>
      </c>
      <c r="AU367" s="195">
        <v>0</v>
      </c>
      <c r="AV367" s="196">
        <v>0</v>
      </c>
      <c r="AW367" s="219">
        <v>0</v>
      </c>
      <c r="AX367" s="220">
        <v>0</v>
      </c>
      <c r="AY367" s="205">
        <f t="shared" si="317"/>
        <v>0</v>
      </c>
      <c r="AZ367" s="206">
        <f t="shared" si="318"/>
        <v>0</v>
      </c>
      <c r="BA367" s="207">
        <f t="shared" si="320"/>
        <v>0</v>
      </c>
      <c r="BB367" s="204">
        <f t="shared" si="320"/>
        <v>0</v>
      </c>
      <c r="BC367" s="208">
        <f t="shared" si="321"/>
        <v>0</v>
      </c>
      <c r="BD367" s="209">
        <f t="shared" si="321"/>
        <v>0</v>
      </c>
      <c r="BE367" s="210">
        <f t="shared" si="322"/>
        <v>0</v>
      </c>
      <c r="BF367" s="211">
        <f t="shared" si="322"/>
        <v>0</v>
      </c>
      <c r="BG367" s="212">
        <f t="shared" si="323"/>
        <v>0</v>
      </c>
      <c r="BH367" s="213">
        <f t="shared" si="323"/>
        <v>0</v>
      </c>
    </row>
    <row r="371" spans="3:4" x14ac:dyDescent="0.3">
      <c r="C371" s="328"/>
      <c r="D371" s="328"/>
    </row>
    <row r="372" spans="3:4" x14ac:dyDescent="0.3">
      <c r="C372" s="328"/>
      <c r="D372" s="328"/>
    </row>
    <row r="373" spans="3:4" x14ac:dyDescent="0.3">
      <c r="C373" s="328"/>
      <c r="D373" s="328"/>
    </row>
    <row r="374" spans="3:4" x14ac:dyDescent="0.3">
      <c r="C374" s="328"/>
      <c r="D374" s="328"/>
    </row>
    <row r="375" spans="3:4" x14ac:dyDescent="0.3">
      <c r="C375" s="328"/>
      <c r="D375" s="328"/>
    </row>
    <row r="376" spans="3:4" x14ac:dyDescent="0.3">
      <c r="C376" s="328"/>
      <c r="D376" s="328"/>
    </row>
    <row r="377" spans="3:4" x14ac:dyDescent="0.3">
      <c r="C377" s="328"/>
      <c r="D377" s="328"/>
    </row>
    <row r="378" spans="3:4" x14ac:dyDescent="0.3">
      <c r="C378" s="328"/>
      <c r="D378" s="328"/>
    </row>
    <row r="379" spans="3:4" x14ac:dyDescent="0.3">
      <c r="C379" s="328"/>
      <c r="D379" s="328"/>
    </row>
    <row r="380" spans="3:4" x14ac:dyDescent="0.3">
      <c r="C380" s="328"/>
      <c r="D380" s="328"/>
    </row>
    <row r="381" spans="3:4" x14ac:dyDescent="0.3">
      <c r="C381" s="328"/>
      <c r="D381" s="328"/>
    </row>
    <row r="382" spans="3:4" x14ac:dyDescent="0.3">
      <c r="C382" s="328"/>
      <c r="D382" s="328"/>
    </row>
    <row r="383" spans="3:4" x14ac:dyDescent="0.3">
      <c r="C383" s="328"/>
      <c r="D383" s="328"/>
    </row>
    <row r="384" spans="3:4" x14ac:dyDescent="0.3">
      <c r="C384" s="328"/>
      <c r="D384" s="328"/>
    </row>
    <row r="385" spans="3:4" x14ac:dyDescent="0.3">
      <c r="C385" s="328"/>
      <c r="D385" s="328"/>
    </row>
    <row r="386" spans="3:4" x14ac:dyDescent="0.3">
      <c r="C386" s="328"/>
      <c r="D386" s="328"/>
    </row>
    <row r="387" spans="3:4" x14ac:dyDescent="0.3">
      <c r="C387" s="328"/>
      <c r="D387" s="328"/>
    </row>
    <row r="388" spans="3:4" x14ac:dyDescent="0.3">
      <c r="C388" s="328"/>
      <c r="D388" s="328"/>
    </row>
    <row r="389" spans="3:4" x14ac:dyDescent="0.3">
      <c r="C389" s="328"/>
      <c r="D389" s="328"/>
    </row>
    <row r="390" spans="3:4" x14ac:dyDescent="0.3">
      <c r="C390" s="328"/>
      <c r="D390" s="328"/>
    </row>
    <row r="391" spans="3:4" x14ac:dyDescent="0.3">
      <c r="C391" s="328"/>
      <c r="D391" s="328"/>
    </row>
    <row r="392" spans="3:4" x14ac:dyDescent="0.3">
      <c r="C392" s="328"/>
      <c r="D392" s="328"/>
    </row>
    <row r="393" spans="3:4" x14ac:dyDescent="0.3">
      <c r="C393" s="328"/>
      <c r="D393" s="328"/>
    </row>
    <row r="394" spans="3:4" x14ac:dyDescent="0.3">
      <c r="C394" s="328"/>
      <c r="D394" s="328"/>
    </row>
    <row r="395" spans="3:4" x14ac:dyDescent="0.3">
      <c r="C395" s="328"/>
      <c r="D395" s="328"/>
    </row>
    <row r="396" spans="3:4" x14ac:dyDescent="0.3">
      <c r="C396" s="328"/>
      <c r="D396" s="328"/>
    </row>
  </sheetData>
  <mergeCells count="54">
    <mergeCell ref="BG5:BG6"/>
    <mergeCell ref="BH5:BH6"/>
    <mergeCell ref="BA5:BA6"/>
    <mergeCell ref="BB5:BB6"/>
    <mergeCell ref="BC5:BC6"/>
    <mergeCell ref="BD5:BD6"/>
    <mergeCell ref="BE5:BE6"/>
    <mergeCell ref="BF5:BF6"/>
    <mergeCell ref="AQ5:AQ6"/>
    <mergeCell ref="AR5:AR6"/>
    <mergeCell ref="AS5:AT5"/>
    <mergeCell ref="AU5:AV5"/>
    <mergeCell ref="AY5:AY6"/>
    <mergeCell ref="AZ5:AZ6"/>
    <mergeCell ref="AG5:AG6"/>
    <mergeCell ref="AH5:AH6"/>
    <mergeCell ref="AI5:AI6"/>
    <mergeCell ref="AJ5:AJ6"/>
    <mergeCell ref="AK5:AL5"/>
    <mergeCell ref="AM5:AN5"/>
    <mergeCell ref="AS4:AZ4"/>
    <mergeCell ref="BA4:BB4"/>
    <mergeCell ref="BC4:BD4"/>
    <mergeCell ref="BE4:BF4"/>
    <mergeCell ref="S5:T5"/>
    <mergeCell ref="U5:V5"/>
    <mergeCell ref="Y5:Y6"/>
    <mergeCell ref="Z5:Z6"/>
    <mergeCell ref="AA5:AB5"/>
    <mergeCell ref="AC5:AD5"/>
    <mergeCell ref="S3:BF3"/>
    <mergeCell ref="BG3:BH4"/>
    <mergeCell ref="S4:Z4"/>
    <mergeCell ref="AA4:AH4"/>
    <mergeCell ref="AI4:AJ4"/>
    <mergeCell ref="AK4:AR4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5"/>
    <mergeCell ref="B3:B5"/>
    <mergeCell ref="C3:C5"/>
    <mergeCell ref="D3:D5"/>
    <mergeCell ref="E3:E5"/>
    <mergeCell ref="F3:F5"/>
  </mergeCells>
  <conditionalFormatting sqref="B9:B30">
    <cfRule type="expression" dxfId="35" priority="25">
      <formula>$R9="VFC"</formula>
    </cfRule>
    <cfRule type="expression" dxfId="34" priority="26">
      <formula>$R9="VOC"</formula>
    </cfRule>
    <cfRule type="expression" dxfId="33" priority="27">
      <formula>$R9="VIMC"</formula>
    </cfRule>
  </conditionalFormatting>
  <conditionalFormatting sqref="B39:B56">
    <cfRule type="expression" dxfId="32" priority="28">
      <formula>$R39="VFC"</formula>
    </cfRule>
    <cfRule type="expression" dxfId="31" priority="29">
      <formula>$R39="VOC"</formula>
    </cfRule>
    <cfRule type="expression" dxfId="30" priority="30">
      <formula>$R39="VIMC"</formula>
    </cfRule>
  </conditionalFormatting>
  <conditionalFormatting sqref="B69:B93">
    <cfRule type="expression" dxfId="29" priority="31">
      <formula>$R69="VFC"</formula>
    </cfRule>
    <cfRule type="expression" dxfId="28" priority="32">
      <formula>$R69="VOC"</formula>
    </cfRule>
    <cfRule type="expression" dxfId="27" priority="33">
      <formula>$R69="VIMC"</formula>
    </cfRule>
  </conditionalFormatting>
  <conditionalFormatting sqref="B99:B127">
    <cfRule type="expression" dxfId="26" priority="34">
      <formula>$R99="VFC"</formula>
    </cfRule>
    <cfRule type="expression" dxfId="25" priority="35">
      <formula>$R99="VOC"</formula>
    </cfRule>
    <cfRule type="expression" dxfId="24" priority="36">
      <formula>$R99="VIMC"</formula>
    </cfRule>
  </conditionalFormatting>
  <conditionalFormatting sqref="B129:B154">
    <cfRule type="expression" dxfId="23" priority="22">
      <formula>$R129="VFC"</formula>
    </cfRule>
    <cfRule type="expression" dxfId="22" priority="23">
      <formula>$R129="VOC"</formula>
    </cfRule>
    <cfRule type="expression" dxfId="21" priority="24">
      <formula>$R129="VIMC"</formula>
    </cfRule>
  </conditionalFormatting>
  <conditionalFormatting sqref="B159:B185">
    <cfRule type="expression" dxfId="20" priority="19">
      <formula>$R159="VFC"</formula>
    </cfRule>
    <cfRule type="expression" dxfId="19" priority="20">
      <formula>$R159="VOC"</formula>
    </cfRule>
    <cfRule type="expression" dxfId="18" priority="21">
      <formula>$R159="VIMC"</formula>
    </cfRule>
  </conditionalFormatting>
  <conditionalFormatting sqref="B189:B215">
    <cfRule type="expression" dxfId="17" priority="16">
      <formula>$R189="VFC"</formula>
    </cfRule>
    <cfRule type="expression" dxfId="16" priority="17">
      <formula>$R189="VOC"</formula>
    </cfRule>
    <cfRule type="expression" dxfId="15" priority="18">
      <formula>$R189="VIMC"</formula>
    </cfRule>
  </conditionalFormatting>
  <conditionalFormatting sqref="B219:B247">
    <cfRule type="expression" dxfId="14" priority="13">
      <formula>$R219="VFC"</formula>
    </cfRule>
    <cfRule type="expression" dxfId="13" priority="14">
      <formula>$R219="VOC"</formula>
    </cfRule>
    <cfRule type="expression" dxfId="12" priority="15">
      <formula>$R219="VIMC"</formula>
    </cfRule>
  </conditionalFormatting>
  <conditionalFormatting sqref="B249:B267">
    <cfRule type="expression" dxfId="11" priority="10">
      <formula>$R249="VFC"</formula>
    </cfRule>
    <cfRule type="expression" dxfId="10" priority="11">
      <formula>$R249="VOC"</formula>
    </cfRule>
    <cfRule type="expression" dxfId="9" priority="12">
      <formula>$R249="VIMC"</formula>
    </cfRule>
  </conditionalFormatting>
  <conditionalFormatting sqref="B279:B307">
    <cfRule type="expression" dxfId="8" priority="7">
      <formula>$R279="VFC"</formula>
    </cfRule>
    <cfRule type="expression" dxfId="7" priority="8">
      <formula>$R279="VOC"</formula>
    </cfRule>
    <cfRule type="expression" dxfId="6" priority="9">
      <formula>$R279="VIMC"</formula>
    </cfRule>
  </conditionalFormatting>
  <conditionalFormatting sqref="B309:B337">
    <cfRule type="expression" dxfId="5" priority="4">
      <formula>$R309="VFC"</formula>
    </cfRule>
    <cfRule type="expression" dxfId="4" priority="5">
      <formula>$R309="VOC"</formula>
    </cfRule>
    <cfRule type="expression" dxfId="3" priority="6">
      <formula>$R309="VIMC"</formula>
    </cfRule>
  </conditionalFormatting>
  <conditionalFormatting sqref="B339:B367">
    <cfRule type="expression" dxfId="2" priority="1">
      <formula>$R339="VFC"</formula>
    </cfRule>
    <cfRule type="expression" dxfId="1" priority="2">
      <formula>$R339="VOC"</formula>
    </cfRule>
    <cfRule type="expression" dxfId="0" priority="3">
      <formula>$R339="VIMC"</formula>
    </cfRule>
  </conditionalFormatting>
  <hyperlinks>
    <hyperlink ref="C7" location="'LUOT TAU (N22-N23-N24)'!AQ7:BV7" display="TT" xr:uid="{178595FE-3AF4-4934-BF0D-1D67BE56C7F3}"/>
    <hyperlink ref="B7" location="'LUOT TAU (N22-N23-N24)'!AQ7:BV7" display="Tháng" xr:uid="{AF7E086D-E452-4105-8627-4165E673DEB5}"/>
    <hyperlink ref="A7" location="'LUOT TAU (N22-N23-N24)'!CM7:DR7" display="Tháng" xr:uid="{A35A2700-BA43-4D4E-9676-2F9091371B99}"/>
  </hyperlinks>
  <pageMargins left="0" right="0" top="0" bottom="0" header="0" footer="0"/>
  <pageSetup paperSize="9" scale="4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LUOT TAU N2025</vt:lpstr>
      <vt:lpstr>'LUOT TAU N2025'!Print_Titles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Tiền</dc:creator>
  <cp:lastModifiedBy>Nguyễn Minh Tiền</cp:lastModifiedBy>
  <dcterms:created xsi:type="dcterms:W3CDTF">2025-12-30T14:49:46Z</dcterms:created>
  <dcterms:modified xsi:type="dcterms:W3CDTF">2025-12-30T15:02:58Z</dcterms:modified>
</cp:coreProperties>
</file>